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DOI BULANAN\"/>
    </mc:Choice>
  </mc:AlternateContent>
  <xr:revisionPtr revIDLastSave="0" documentId="13_ncr:1_{37BCE290-5E73-438D-9E67-CED78377F1D5}" xr6:coauthVersionLast="47" xr6:coauthVersionMax="47" xr10:uidLastSave="{00000000-0000-0000-0000-000000000000}"/>
  <bookViews>
    <workbookView xWindow="-108" yWindow="-108" windowWidth="23256" windowHeight="12456" xr2:uid="{7A4E4CA0-3C41-4699-9069-61742CAEF447}"/>
  </bookViews>
  <sheets>
    <sheet name="Sheet1" sheetId="1" r:id="rId1"/>
  </sheets>
  <definedNames>
    <definedName name="_xlnm._FilterDatabase" localSheetId="0" hidden="1">Sheet1!$A$1:$N$420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0" i="1" l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1" i="1"/>
  <c r="M400" i="1"/>
  <c r="M399" i="1"/>
  <c r="M398" i="1"/>
  <c r="M397" i="1"/>
  <c r="M396" i="1"/>
  <c r="M395" i="1"/>
  <c r="M394" i="1"/>
  <c r="M392" i="1"/>
  <c r="M391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7" i="1"/>
  <c r="M366" i="1"/>
  <c r="M365" i="1"/>
  <c r="M364" i="1"/>
  <c r="M363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6" i="1"/>
  <c r="M325" i="1"/>
  <c r="M322" i="1"/>
  <c r="M319" i="1"/>
  <c r="M318" i="1"/>
  <c r="M317" i="1"/>
  <c r="M316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1" i="1"/>
  <c r="M300" i="1"/>
  <c r="M297" i="1"/>
  <c r="M294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2" i="1"/>
  <c r="M261" i="1"/>
  <c r="M260" i="1"/>
  <c r="M259" i="1"/>
  <c r="M258" i="1"/>
  <c r="M257" i="1"/>
  <c r="M256" i="1"/>
  <c r="M255" i="1"/>
  <c r="M254" i="1"/>
  <c r="M253" i="1"/>
  <c r="M252" i="1"/>
  <c r="M249" i="1"/>
  <c r="M247" i="1"/>
  <c r="M245" i="1"/>
  <c r="M244" i="1"/>
  <c r="M243" i="1"/>
  <c r="M242" i="1"/>
  <c r="M241" i="1"/>
  <c r="M240" i="1"/>
  <c r="M235" i="1"/>
  <c r="M234" i="1"/>
  <c r="M233" i="1"/>
  <c r="M232" i="1"/>
  <c r="M230" i="1"/>
  <c r="M229" i="1"/>
  <c r="M228" i="1"/>
  <c r="M227" i="1"/>
  <c r="M226" i="1"/>
  <c r="M225" i="1"/>
  <c r="M224" i="1"/>
  <c r="M223" i="1"/>
  <c r="M219" i="1"/>
  <c r="M217" i="1"/>
  <c r="M216" i="1"/>
  <c r="M215" i="1"/>
  <c r="M214" i="1"/>
  <c r="M213" i="1"/>
  <c r="M212" i="1"/>
  <c r="M211" i="1"/>
  <c r="M210" i="1"/>
  <c r="M209" i="1"/>
  <c r="M207" i="1"/>
  <c r="M206" i="1"/>
  <c r="M205" i="1"/>
  <c r="M203" i="1"/>
  <c r="M202" i="1"/>
  <c r="M201" i="1"/>
  <c r="M197" i="1"/>
  <c r="M196" i="1"/>
  <c r="M195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6" i="1"/>
  <c r="M155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0" i="1"/>
  <c r="M139" i="1"/>
  <c r="M137" i="1"/>
  <c r="M136" i="1"/>
  <c r="M135" i="1"/>
  <c r="M134" i="1"/>
  <c r="M133" i="1"/>
  <c r="M132" i="1"/>
  <c r="M131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39" i="1"/>
  <c r="M38" i="1"/>
  <c r="M37" i="1"/>
  <c r="M36" i="1"/>
  <c r="M35" i="1"/>
  <c r="M33" i="1"/>
  <c r="M32" i="1"/>
  <c r="M31" i="1"/>
  <c r="M30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01" i="1"/>
  <c r="J300" i="1"/>
</calcChain>
</file>

<file path=xl/sharedStrings.xml><?xml version="1.0" encoding="utf-8"?>
<sst xmlns="http://schemas.openxmlformats.org/spreadsheetml/2006/main" count="3785" uniqueCount="1405">
  <si>
    <t>GB</t>
  </si>
  <si>
    <t>ANA005</t>
  </si>
  <si>
    <t>ANAKONIDIN 30 ML</t>
  </si>
  <si>
    <t>GB 1</t>
  </si>
  <si>
    <t>ANA006</t>
  </si>
  <si>
    <t>ANAKONIDIN 60 ML</t>
  </si>
  <si>
    <t>ANA007</t>
  </si>
  <si>
    <t>ANAKONIDIN OBH 30 ML</t>
  </si>
  <si>
    <t>ANA008</t>
  </si>
  <si>
    <t>ANAKONIDIN OBH 60 ML</t>
  </si>
  <si>
    <t>ASK001</t>
  </si>
  <si>
    <t>ASKAMEX</t>
  </si>
  <si>
    <t>FEM003</t>
  </si>
  <si>
    <t>FEMINAX /25</t>
  </si>
  <si>
    <t>FEM004</t>
  </si>
  <si>
    <t>FEMINAX VITABRIGHT 4 KAPLET</t>
  </si>
  <si>
    <t>FEM005</t>
  </si>
  <si>
    <t>FEMINAX LANCAR HAID 5 SACHET</t>
  </si>
  <si>
    <t>FEM006</t>
  </si>
  <si>
    <t>FEMINAX LANCAR HAID 12 SACHET</t>
  </si>
  <si>
    <t>INA008</t>
  </si>
  <si>
    <t>INZA KAPLET</t>
  </si>
  <si>
    <t>INA009</t>
  </si>
  <si>
    <t>INZA FLU &amp; BATUK KAPLET 4</t>
  </si>
  <si>
    <t>KON005</t>
  </si>
  <si>
    <t>KONIDIN STRONGMINT LOZENGES</t>
  </si>
  <si>
    <t>KON006</t>
  </si>
  <si>
    <t>KONIDIN MINT LOZENGES</t>
  </si>
  <si>
    <t>KON007</t>
  </si>
  <si>
    <t>KONIDIN HERBAL MINT LOZENGES</t>
  </si>
  <si>
    <t>KON009</t>
  </si>
  <si>
    <t>KONIDIN OBH 5 SACHET</t>
  </si>
  <si>
    <t>KON011</t>
  </si>
  <si>
    <t>KONIDIN 25 STRIP</t>
  </si>
  <si>
    <t>KVR004</t>
  </si>
  <si>
    <t>KONVERMEX SUSPENSI 125 MG</t>
  </si>
  <si>
    <t>KVR009</t>
  </si>
  <si>
    <t>KONVERMEX KAPLET 250 MG ISI 10</t>
  </si>
  <si>
    <t>TER005</t>
  </si>
  <si>
    <t>TERMOREX 30 ML</t>
  </si>
  <si>
    <t>TER006</t>
  </si>
  <si>
    <t>TERMOREX 60 ML</t>
  </si>
  <si>
    <t>TER007</t>
  </si>
  <si>
    <t>TERMOREX PLUS 30 ML</t>
  </si>
  <si>
    <t>TER008</t>
  </si>
  <si>
    <t>TERMOREX PLUS 60 ML</t>
  </si>
  <si>
    <t>TER011</t>
  </si>
  <si>
    <t>TERMOREX BABY</t>
  </si>
  <si>
    <t>XIL001</t>
  </si>
  <si>
    <t>XILERGY TABLET 6</t>
  </si>
  <si>
    <t>XIL002</t>
  </si>
  <si>
    <t>XILERGY SIRUP 60 ML</t>
  </si>
  <si>
    <t>FRE021</t>
  </si>
  <si>
    <t>FREZZA FLUORIDE 30 ML</t>
  </si>
  <si>
    <t>GB 2</t>
  </si>
  <si>
    <t>FRE027</t>
  </si>
  <si>
    <t>FREZZA MINT 30 ML</t>
  </si>
  <si>
    <t>FRE045</t>
  </si>
  <si>
    <t>FREZZA SPRAY STRONG MINT</t>
  </si>
  <si>
    <t>FRE048</t>
  </si>
  <si>
    <t>FREZZA MEDICATED MOUTH ULCER SPRAY 13 ML</t>
  </si>
  <si>
    <t>FRE050</t>
  </si>
  <si>
    <t>HER001</t>
  </si>
  <si>
    <t>HERBADRINK KUNYIT ASAM 25 G</t>
  </si>
  <si>
    <t>HER007</t>
  </si>
  <si>
    <t>HERBADRINK TEMULAWAK</t>
  </si>
  <si>
    <t>HER008</t>
  </si>
  <si>
    <t>HERBADRINK BERAS KENCUR</t>
  </si>
  <si>
    <t>HER011</t>
  </si>
  <si>
    <t>HERBADRINK KUNYIT ASAM SIRIH PLUS MADU</t>
  </si>
  <si>
    <t>HER012</t>
  </si>
  <si>
    <t>HERBADRINK SARI JAHE SF</t>
  </si>
  <si>
    <t>HER014</t>
  </si>
  <si>
    <t>HERBADRINK TEMULAWAK SF</t>
  </si>
  <si>
    <t>HER016</t>
  </si>
  <si>
    <t>HERBADRINK WEDANG UWUH</t>
  </si>
  <si>
    <t>HER017</t>
  </si>
  <si>
    <t>HERBADRINK SUSU JAHE</t>
  </si>
  <si>
    <t>HER018</t>
  </si>
  <si>
    <t>HERBADRINK WEDANG BAJIGUR</t>
  </si>
  <si>
    <t>HER019</t>
  </si>
  <si>
    <t>HERBADRINK JAHE KENCUR JERUK</t>
  </si>
  <si>
    <t>HER020</t>
  </si>
  <si>
    <t>HERBADRINK SARI JAHE 22 G (NEW)</t>
  </si>
  <si>
    <t>KBD001</t>
  </si>
  <si>
    <t>KONICARE BABY DIAPER 60 G</t>
  </si>
  <si>
    <t>KBK008</t>
  </si>
  <si>
    <t>KONICARE BEDAK B.KERINGAT 80 G (PROMO)</t>
  </si>
  <si>
    <t>KKP001</t>
  </si>
  <si>
    <t>KONICARE KAYU PUTIH 60 ML</t>
  </si>
  <si>
    <t>KKP002</t>
  </si>
  <si>
    <t>KONICARE KAYU PUTIH 30 ML</t>
  </si>
  <si>
    <t>KKP003</t>
  </si>
  <si>
    <t>KONICARE KAYU PUTIH 125 ML</t>
  </si>
  <si>
    <t>KKP004</t>
  </si>
  <si>
    <t>KONICARE KAYU PUTIH PLUS 30 ML</t>
  </si>
  <si>
    <t>KKP005</t>
  </si>
  <si>
    <t>KONICARE KAYU PUTIH PLUS 60 ML</t>
  </si>
  <si>
    <t>KKP006</t>
  </si>
  <si>
    <t>KONICARE KAYU PUTIH PLUS 125 ML</t>
  </si>
  <si>
    <t>KKP007</t>
  </si>
  <si>
    <t>KONICARE MINYAK KAYU PUTIH HOT 60 ML</t>
  </si>
  <si>
    <t>KKP008</t>
  </si>
  <si>
    <t>KONICARE MINYAK KAYU PUTIH HOT 125 ML</t>
  </si>
  <si>
    <t>KMO002</t>
  </si>
  <si>
    <t>KONICARE BABY OIL 60 ML</t>
  </si>
  <si>
    <t>KMT001</t>
  </si>
  <si>
    <t>KONICARE MINYAK TELON 60 ML</t>
  </si>
  <si>
    <t>KMT002</t>
  </si>
  <si>
    <t>KONICARE MINYAK TELON 30 ML</t>
  </si>
  <si>
    <t>KMT003</t>
  </si>
  <si>
    <t>KONICARE MINYAK TELON 125 ML</t>
  </si>
  <si>
    <t>KMT004</t>
  </si>
  <si>
    <t>KONICARE MINYAK TELON PLUS 30 ML</t>
  </si>
  <si>
    <t>KMT005</t>
  </si>
  <si>
    <t>KONICARE MINYAK TELON PLUS 60 ML</t>
  </si>
  <si>
    <t>KMT006</t>
  </si>
  <si>
    <t>KONICARE MINYAK TELON PLUS 125 ML</t>
  </si>
  <si>
    <t>KMT007</t>
  </si>
  <si>
    <t>KONICARE TELON EXTRA LEMONGRASS 60 ML</t>
  </si>
  <si>
    <t>KMT008</t>
  </si>
  <si>
    <t>KONICARE TELON EXTRA LEMONGRASS 125 ML</t>
  </si>
  <si>
    <t>KMT009</t>
  </si>
  <si>
    <t>KONICARE MINYAK TELON PLUS 3 IN 1 60 ML</t>
  </si>
  <si>
    <t>KMT010</t>
  </si>
  <si>
    <t>KONICARE MINYAK TELON PLUS 3 IN 1 125 ML</t>
  </si>
  <si>
    <t>KMZ001</t>
  </si>
  <si>
    <t>KONICARE MINYAK ZAITUN 60 ML</t>
  </si>
  <si>
    <t>KNB002</t>
  </si>
  <si>
    <t>KONICARE NAT BABY HAIR LOTION 100 ML</t>
  </si>
  <si>
    <t>KNB004</t>
  </si>
  <si>
    <t>KONICARE BABY BATH 2IN1 NEW BORN 300 ML</t>
  </si>
  <si>
    <t>KNB006</t>
  </si>
  <si>
    <t>KONICARE NAT BABY BATH 2 IN 1 200 ML</t>
  </si>
  <si>
    <t>KNB007</t>
  </si>
  <si>
    <t>KONICARE NAT BABY BATH 2IN1 200 ML REFIL</t>
  </si>
  <si>
    <t>KNB008</t>
  </si>
  <si>
    <t>KONICARE BABY POWDER FRESH 100 G</t>
  </si>
  <si>
    <t>KNB009</t>
  </si>
  <si>
    <t>KONICARE BABY POWDER FRESH 200 G</t>
  </si>
  <si>
    <t>KNB010</t>
  </si>
  <si>
    <t>KONICARE BABY POWDER POWDERY 100 G</t>
  </si>
  <si>
    <t>KNB011</t>
  </si>
  <si>
    <t>KONICARE BABY POWDER POWDERY 200 G</t>
  </si>
  <si>
    <t>KNB013</t>
  </si>
  <si>
    <t>KONICARE NAT BABY COLOGNE LOVELY DEW 100</t>
  </si>
  <si>
    <t>KNB014</t>
  </si>
  <si>
    <t>KONICARE BABY COLOGNE MORNING FRESH 100</t>
  </si>
  <si>
    <t>KNB015</t>
  </si>
  <si>
    <t>KONICARE NATURAL BABY LOTION 60 G</t>
  </si>
  <si>
    <t>KPG002</t>
  </si>
  <si>
    <t>KONICARE GEL PENGURANG GATAL 60 ML</t>
  </si>
  <si>
    <t>KVC001</t>
  </si>
  <si>
    <t>KONICARE NATURAL V CREAM 30 G</t>
  </si>
  <si>
    <t>PRN001</t>
  </si>
  <si>
    <t>PREGNACHECK STRIP</t>
  </si>
  <si>
    <t>PRN002</t>
  </si>
  <si>
    <t>PREGNACHECK COMPACT</t>
  </si>
  <si>
    <t>TMT001</t>
  </si>
  <si>
    <t>TALITA MINYAK TELON PLUS CITRONELLA 30ML</t>
  </si>
  <si>
    <t>TMT002</t>
  </si>
  <si>
    <t>TALITA MINYAK TELON PLUS CITRONELLA 60ML</t>
  </si>
  <si>
    <t>TMT003</t>
  </si>
  <si>
    <t>TALITA MINYAK TELON PLUS CITRONELA 125ML</t>
  </si>
  <si>
    <t>TMT004</t>
  </si>
  <si>
    <t>TMT005</t>
  </si>
  <si>
    <t>TMT006</t>
  </si>
  <si>
    <t>VGL001</t>
  </si>
  <si>
    <t>VIGEL 60 G</t>
  </si>
  <si>
    <t>VGL002</t>
  </si>
  <si>
    <t>VIGEL 30 G</t>
  </si>
  <si>
    <t>VGL004</t>
  </si>
  <si>
    <t>VIGEL 2 IN 1</t>
  </si>
  <si>
    <t>VGL005</t>
  </si>
  <si>
    <t>VIGEL TIGHT LUBRICATING GEL 50 G</t>
  </si>
  <si>
    <t>VGL007</t>
  </si>
  <si>
    <t>VIGEL DURA O TUBE 30 G</t>
  </si>
  <si>
    <t>VGL009</t>
  </si>
  <si>
    <t>VIGEL SPARK O 30 G</t>
  </si>
  <si>
    <t>VGL010</t>
  </si>
  <si>
    <t>VIGEL 2 IN 1 PLUS 125 G</t>
  </si>
  <si>
    <t>EVE012</t>
  </si>
  <si>
    <t>EVER E 250 SOFT CAPSUL BOTOL</t>
  </si>
  <si>
    <t>GB 3</t>
  </si>
  <si>
    <t>EVE022</t>
  </si>
  <si>
    <t>EVER E 250 SOFT CAPSUL STRIP /12</t>
  </si>
  <si>
    <t>EVE023</t>
  </si>
  <si>
    <t>EVER E 250 SOFT CAPSUL STRIP /6</t>
  </si>
  <si>
    <t>EVE025</t>
  </si>
  <si>
    <t>EVER E 100 + VIT C BOTOL 30</t>
  </si>
  <si>
    <t>EVE026</t>
  </si>
  <si>
    <t>EVER E CALMIA SOFT CAPSULE BOTOL 30</t>
  </si>
  <si>
    <t>EVE027</t>
  </si>
  <si>
    <t>JES001</t>
  </si>
  <si>
    <t>JESSCOOL EFFERVESCENT /1</t>
  </si>
  <si>
    <t>JES002</t>
  </si>
  <si>
    <t>JESSCOOL EFFERVESCENT /6</t>
  </si>
  <si>
    <t>JES006</t>
  </si>
  <si>
    <t>JESSCOOL LEMON TEA EFF /1</t>
  </si>
  <si>
    <t>JES007</t>
  </si>
  <si>
    <t>JESSCOOL LEMON TEA EFF /6</t>
  </si>
  <si>
    <t>KBO001</t>
  </si>
  <si>
    <t>KONILIFE BONE</t>
  </si>
  <si>
    <t>KCH001</t>
  </si>
  <si>
    <t>KCQ003</t>
  </si>
  <si>
    <t>KDG002</t>
  </si>
  <si>
    <t>KONILIFE DIGESTCARE (ISI 24 DOOS)</t>
  </si>
  <si>
    <t>KEN002</t>
  </si>
  <si>
    <t>KONILIFE ENZYMAX 30 (ISI 24 BTL)</t>
  </si>
  <si>
    <t>KFE002</t>
  </si>
  <si>
    <t>KONILIFE FERTILIVE 30 (ISI 24 BTL)</t>
  </si>
  <si>
    <t>KFO002</t>
  </si>
  <si>
    <t>KONILIFE FOCUS 30 (ISI 24 BTL)</t>
  </si>
  <si>
    <t>KGL001</t>
  </si>
  <si>
    <t>KONILIFE GLUCOTRIM</t>
  </si>
  <si>
    <t>KIM001</t>
  </si>
  <si>
    <t>KONILIFE IMUNEA</t>
  </si>
  <si>
    <t>KKI002</t>
  </si>
  <si>
    <t>KONILIFE KIDNECARE 30 (ISI 24 BTL)</t>
  </si>
  <si>
    <t>KKO002</t>
  </si>
  <si>
    <t>KONILIFE KOLESTRO 30 (ISI 24 BTL)</t>
  </si>
  <si>
    <t>KLA002</t>
  </si>
  <si>
    <t>KONILIFE LAKTAGARD 30 (ISI 24 BTL)</t>
  </si>
  <si>
    <t>KLD001</t>
  </si>
  <si>
    <t>KLD002</t>
  </si>
  <si>
    <t>KONILIFE D1000 TABLET ISI 100</t>
  </si>
  <si>
    <t>KLD004</t>
  </si>
  <si>
    <t>KONILIFE D3-4000 30 (ISI 24 BTL)</t>
  </si>
  <si>
    <t>KLI002</t>
  </si>
  <si>
    <t>KONILIFE LIVERGARD 30 (ISI 24 BTL)</t>
  </si>
  <si>
    <t>KMC002</t>
  </si>
  <si>
    <t>KONILIFE MATERCARE 30 (ISI 24 BTL)</t>
  </si>
  <si>
    <t>KNM002</t>
  </si>
  <si>
    <t>KONILIFE NOMOFAT 30 (ISI 24 BTL)</t>
  </si>
  <si>
    <t>KOM001</t>
  </si>
  <si>
    <t>KOM002</t>
  </si>
  <si>
    <t>KOS004</t>
  </si>
  <si>
    <t>KONILIFE OSTEOGROWTH 30 (ISI 24 BTL)</t>
  </si>
  <si>
    <t>KOX001</t>
  </si>
  <si>
    <t>KONILIFE OXI</t>
  </si>
  <si>
    <t>KPR002</t>
  </si>
  <si>
    <t>KONILIFE PROSMETO 30 (ISI 24 BTL)</t>
  </si>
  <si>
    <t>KRE002</t>
  </si>
  <si>
    <t>KRL002</t>
  </si>
  <si>
    <t>KONILIFE RILAX 30 (ISI 24 BTL)</t>
  </si>
  <si>
    <t>KSL002</t>
  </si>
  <si>
    <t>KONILIFE SLIMMER 30 (ISI 24 BTL)</t>
  </si>
  <si>
    <t>KTB002</t>
  </si>
  <si>
    <t>KONILIFE THROMBOFLOW 30 (ISI 24 BTL)</t>
  </si>
  <si>
    <t>KTM002</t>
  </si>
  <si>
    <t>KONILIFE OPTIMIND 30 (ISI 24 BTL)</t>
  </si>
  <si>
    <t>KUF001</t>
  </si>
  <si>
    <t>KONILIFE URAFIT</t>
  </si>
  <si>
    <t>KUH002</t>
  </si>
  <si>
    <t>KONILIFE URIHEALTH 30 (ISI 24 BTL)</t>
  </si>
  <si>
    <t>KVI002</t>
  </si>
  <si>
    <t>KONILIFE VISION SOFT CAPSULE</t>
  </si>
  <si>
    <t>KVI004</t>
  </si>
  <si>
    <t>KONILIFE VISION PRO 30 (ISI 24 BTL)</t>
  </si>
  <si>
    <t>PRO022</t>
  </si>
  <si>
    <t>PRO023</t>
  </si>
  <si>
    <t>PRO024</t>
  </si>
  <si>
    <t>PRO011</t>
  </si>
  <si>
    <t>PROTECAL OSTEO EFF /1 (10)</t>
  </si>
  <si>
    <t>PRO026</t>
  </si>
  <si>
    <t>PRO025</t>
  </si>
  <si>
    <t>PRO021</t>
  </si>
  <si>
    <t>PROTECAL ACTIFREE STRIP 6 AMPLOP</t>
  </si>
  <si>
    <t>RNV002</t>
  </si>
  <si>
    <t>RENOVIT BOTOL</t>
  </si>
  <si>
    <t>RNV004</t>
  </si>
  <si>
    <t>RENOVIT STRIP (NEW)</t>
  </si>
  <si>
    <t>RNV005</t>
  </si>
  <si>
    <t>RENOVIT GOLD BOTOL</t>
  </si>
  <si>
    <t>RNV006</t>
  </si>
  <si>
    <t>RENOVIT GOLD STRIP</t>
  </si>
  <si>
    <t>RNV007</t>
  </si>
  <si>
    <t>RENOVIT KIDS ORANGE BOTOL 30</t>
  </si>
  <si>
    <t>RNV008</t>
  </si>
  <si>
    <t>RENOVIT KIDS STRAWBERRY BOTOL 30</t>
  </si>
  <si>
    <t>BRA005</t>
  </si>
  <si>
    <t>BRAITO ORIGINAL 5 ML</t>
  </si>
  <si>
    <t>GB 4</t>
  </si>
  <si>
    <t>BRA006</t>
  </si>
  <si>
    <t>BRA007</t>
  </si>
  <si>
    <t>BRAITO ORIGINAL 0,5 ML</t>
  </si>
  <si>
    <t>FUN001</t>
  </si>
  <si>
    <t>FUNGIDERM 5 G</t>
  </si>
  <si>
    <t>FUN002</t>
  </si>
  <si>
    <t>FUNGIDERM 10 G</t>
  </si>
  <si>
    <t>HDA002</t>
  </si>
  <si>
    <t>HADA ANGIN BOX 5</t>
  </si>
  <si>
    <t>HDA003</t>
  </si>
  <si>
    <t>HADA ANGIN BOX 12</t>
  </si>
  <si>
    <t>NAP005</t>
  </si>
  <si>
    <t>NEO NAPACIN</t>
  </si>
  <si>
    <t>PAR001</t>
  </si>
  <si>
    <t>PARAMEX</t>
  </si>
  <si>
    <t>PAR004</t>
  </si>
  <si>
    <t>PARAMEX IDM</t>
  </si>
  <si>
    <t>PAR005</t>
  </si>
  <si>
    <t>PARAMEX NYERI OTOT</t>
  </si>
  <si>
    <t>PAR007</t>
  </si>
  <si>
    <t>PAR008</t>
  </si>
  <si>
    <t>PARAMEX FLU &amp; BATUK PE</t>
  </si>
  <si>
    <t>PAR009</t>
  </si>
  <si>
    <t>PAR010</t>
  </si>
  <si>
    <t>SIL004</t>
  </si>
  <si>
    <t>SILADEX MUCOLYTIC &amp; EXPECTORANT 30 ML</t>
  </si>
  <si>
    <t>SIL008</t>
  </si>
  <si>
    <t>SILADEX COUGH &amp; COLD 30 ML</t>
  </si>
  <si>
    <t>SIL010</t>
  </si>
  <si>
    <t>SILADEX ME 60 ML (NEW)</t>
  </si>
  <si>
    <t>SIL012</t>
  </si>
  <si>
    <t>SILADEX CC 60 ML (NEW)</t>
  </si>
  <si>
    <t>SIL014</t>
  </si>
  <si>
    <t>SILADEX CC 100 ML</t>
  </si>
  <si>
    <t>SIL015</t>
  </si>
  <si>
    <t>SILADEX ANTITUSIVE 30 ML</t>
  </si>
  <si>
    <t>SIL016</t>
  </si>
  <si>
    <t>SILADEX ANTITUSIVE 60 ML</t>
  </si>
  <si>
    <t>SIL017</t>
  </si>
  <si>
    <t>SILADEX ANTITUSIVE 100 ML</t>
  </si>
  <si>
    <t>SIL018</t>
  </si>
  <si>
    <t>SILADEX DMP 30 ML</t>
  </si>
  <si>
    <t>SIL019</t>
  </si>
  <si>
    <t>SILADEX DMP 60 ML</t>
  </si>
  <si>
    <t>SIL021</t>
  </si>
  <si>
    <t>SIL022</t>
  </si>
  <si>
    <t>SILADEX COUGH HERBAL 60 ML</t>
  </si>
  <si>
    <t>VIR001</t>
  </si>
  <si>
    <t>VIRUGON 5 G</t>
  </si>
  <si>
    <t>BKR001</t>
  </si>
  <si>
    <t>DAPURASA BUMBU NASGOR CABE MERAH</t>
  </si>
  <si>
    <t>GB 5</t>
  </si>
  <si>
    <t>BKR002</t>
  </si>
  <si>
    <t>DAPURASA BUMBU NASGOR DAGING ASAP</t>
  </si>
  <si>
    <t>BKR003</t>
  </si>
  <si>
    <t>DAPURASA BUMBU NASGOR KAMPUNG</t>
  </si>
  <si>
    <t>BKR004</t>
  </si>
  <si>
    <t>DAPURASA BUMBU NASGOR DAGING KARI</t>
  </si>
  <si>
    <t>BKR005</t>
  </si>
  <si>
    <t>DAPURASA BUMBU TEMPE TAHU GORENG</t>
  </si>
  <si>
    <t>BKR006</t>
  </si>
  <si>
    <t>BKR007</t>
  </si>
  <si>
    <t>DAPURASA BUMBU SOTO AYAM</t>
  </si>
  <si>
    <t>BKR008</t>
  </si>
  <si>
    <t>DAPURASA BUMBU SAYUR SOP</t>
  </si>
  <si>
    <t>BKR101</t>
  </si>
  <si>
    <t>DAPURASA BUMBU NASGOR CABE MERAH (MT)</t>
  </si>
  <si>
    <t>BKR102</t>
  </si>
  <si>
    <t>DAPURASA BUMBU NASGOR DAGING ASAP (MT)</t>
  </si>
  <si>
    <t>BKR103</t>
  </si>
  <si>
    <t>DAPURASA BUMBU NASGOR KAMPUNG (MT)</t>
  </si>
  <si>
    <t>BKR104</t>
  </si>
  <si>
    <t>DAPURASA BUMBU NASGOR DAGING KARI (MT)</t>
  </si>
  <si>
    <t>BKR105</t>
  </si>
  <si>
    <t>DAPURASA BUMBU TEMPE TAHU GORENG (MT)</t>
  </si>
  <si>
    <t>BKR106</t>
  </si>
  <si>
    <t>DAPURASA BUMBU SOTO AYAM (MT)</t>
  </si>
  <si>
    <t>BKR107</t>
  </si>
  <si>
    <t>DAPURASA BUMBU SAYUR SOP (MT)</t>
  </si>
  <si>
    <t>BKR108</t>
  </si>
  <si>
    <t>DAPURASA BUMBU AYAM GORENG GURIH (MT)</t>
  </si>
  <si>
    <t>BRZ018</t>
  </si>
  <si>
    <t>BRINGZ LUMIER BUTTER 100 G</t>
  </si>
  <si>
    <t>BRZ019</t>
  </si>
  <si>
    <t>BRINGZ LUMIER COKELAT 100 G</t>
  </si>
  <si>
    <t>BRZ049</t>
  </si>
  <si>
    <t>BRINGZ DELICIO ASSORTED (TRMS,CKLT,KRML)</t>
  </si>
  <si>
    <t>BRZ050</t>
  </si>
  <si>
    <t>BRINGZ SURPRIZE</t>
  </si>
  <si>
    <t>BRZ051</t>
  </si>
  <si>
    <t>BRINGZ LUMIER BUTTER 35 G</t>
  </si>
  <si>
    <t>BRZ052</t>
  </si>
  <si>
    <t>BRINGZ LUMIER COKELAT 35 G</t>
  </si>
  <si>
    <t>BRZ053</t>
  </si>
  <si>
    <t>BRINGZ LUMIER SUSU 35 G</t>
  </si>
  <si>
    <t>BRZ054</t>
  </si>
  <si>
    <t>BRZ055</t>
  </si>
  <si>
    <t>BRINGZ LUMIER BUTTERY CHOCOLATE 280 G</t>
  </si>
  <si>
    <t>CHL007</t>
  </si>
  <si>
    <t>CHOCOLITO ORIGINAL 38 G</t>
  </si>
  <si>
    <t>CHL008</t>
  </si>
  <si>
    <t>CHOCOLITO RICH CHOCO 38 G</t>
  </si>
  <si>
    <t>CHL009</t>
  </si>
  <si>
    <t>CHOCOLITO KEJU 19 G</t>
  </si>
  <si>
    <t>CHL020</t>
  </si>
  <si>
    <t>CHOCOLITO RICH CHOCO 150 G KALENG</t>
  </si>
  <si>
    <t>CHL022</t>
  </si>
  <si>
    <t>CHOCOLITO CORN FLAKES 19 G</t>
  </si>
  <si>
    <t>CHL023</t>
  </si>
  <si>
    <t>CHOCOLITO ORIGINAL 15 G</t>
  </si>
  <si>
    <t>CHL024</t>
  </si>
  <si>
    <t>CHOCOLITO RICH CHOCO 15 G</t>
  </si>
  <si>
    <t>CHL025</t>
  </si>
  <si>
    <t>CHOCOLITO KEJU 38 G</t>
  </si>
  <si>
    <t>CHL026</t>
  </si>
  <si>
    <t>CHOCOLITO COLEK CHOCO</t>
  </si>
  <si>
    <t>CHL027</t>
  </si>
  <si>
    <t>CHOCOLITO COLEK SWEET CHEESE</t>
  </si>
  <si>
    <t>CHL028</t>
  </si>
  <si>
    <t>CHOCOLITO COLEK YOGUBERRY</t>
  </si>
  <si>
    <t>CHL040</t>
  </si>
  <si>
    <t>CHL041</t>
  </si>
  <si>
    <t>CHL044</t>
  </si>
  <si>
    <t>CHL045</t>
  </si>
  <si>
    <t>CHO038</t>
  </si>
  <si>
    <t>CHOCOMANIA RICH CHOCOLATE 69 G</t>
  </si>
  <si>
    <t>CHO039</t>
  </si>
  <si>
    <t>CHOCOMANIA ORIGINAL 69 G</t>
  </si>
  <si>
    <t>CHO041</t>
  </si>
  <si>
    <t>CHOCOMANIA CORN FLAKES 69 G</t>
  </si>
  <si>
    <t>CHO043</t>
  </si>
  <si>
    <t>CHOCOMANIA CHEESE 69 G</t>
  </si>
  <si>
    <t>CHO045</t>
  </si>
  <si>
    <t>CHOCOMANIA 207 G (GP KURMA)</t>
  </si>
  <si>
    <t>CHO050</t>
  </si>
  <si>
    <t>CHOCO MANIA WAFER CUBE COKELAT 70 G</t>
  </si>
  <si>
    <t>CHO052</t>
  </si>
  <si>
    <t>CHOCO MANIA WAFER CUBE TIRAMISU 70 G</t>
  </si>
  <si>
    <t>DIA039</t>
  </si>
  <si>
    <t>DIASWEET FIBER CHIPS BARBEQUE 50 G</t>
  </si>
  <si>
    <t>DIA040</t>
  </si>
  <si>
    <t>DIASWEET FIBER CHIPS KEJU 50 GR</t>
  </si>
  <si>
    <t>DIF008</t>
  </si>
  <si>
    <t>DIASWEET FIBERWAFER CHOCOLATE 190 G</t>
  </si>
  <si>
    <t>DIF002</t>
  </si>
  <si>
    <t>DIASWEET FIBERWAFER VANILLA 180 G</t>
  </si>
  <si>
    <t>DIF006</t>
  </si>
  <si>
    <t>DIASWEET FIBERWAFER CHOCOLATE 19 G</t>
  </si>
  <si>
    <t>DIF005</t>
  </si>
  <si>
    <t>DIASWEET FIBERWAFER VANILLA 18 G</t>
  </si>
  <si>
    <t>GGT014</t>
  </si>
  <si>
    <t>GET GIT WAFER COKLAT 102 G REG</t>
  </si>
  <si>
    <t>GGT015</t>
  </si>
  <si>
    <t>GET GIT WAFER KEJU 102 G REG</t>
  </si>
  <si>
    <t>GGT070</t>
  </si>
  <si>
    <t>GET GIT WAFER COOL CHOCO 102 G</t>
  </si>
  <si>
    <t>GGT086</t>
  </si>
  <si>
    <t>GET GIT WAFER COKELAT 16 G / 60</t>
  </si>
  <si>
    <t>GGT087</t>
  </si>
  <si>
    <t>GET GIT WAFER KEJU 16 G / 60</t>
  </si>
  <si>
    <t>GGT113</t>
  </si>
  <si>
    <t>GET GIT WAFER COKELAT 35 G /60 (BAG)</t>
  </si>
  <si>
    <t>GGT114</t>
  </si>
  <si>
    <t>GET GIT WAFER KEJU 35 G /60 (BAG)</t>
  </si>
  <si>
    <t>HTB002</t>
  </si>
  <si>
    <t>HOTABURI BUMBU TABUR KRIUK REBON 8 G</t>
  </si>
  <si>
    <t>HTB003</t>
  </si>
  <si>
    <t>HOTABURI BUMBU TABUR KRIUK TERI 8 G</t>
  </si>
  <si>
    <t>HTB005</t>
  </si>
  <si>
    <t>HOTABURI BUMBU TABUR KRIUK BBQ 8 G</t>
  </si>
  <si>
    <t>HTB006</t>
  </si>
  <si>
    <t>HOTABURI BUMBU TABUR KRIUK UMAMI 8G(NEW)</t>
  </si>
  <si>
    <t>NAN140</t>
  </si>
  <si>
    <t>NANO NANO ZUZUU BUBBLE GUM 10 G RENTENG</t>
  </si>
  <si>
    <t>TWB071</t>
  </si>
  <si>
    <t>TINI WINI BITI RAINBOW 57 G</t>
  </si>
  <si>
    <t>TWB078</t>
  </si>
  <si>
    <t>TINI WINI BITI WHIZPY JUICY STRAWBERRY</t>
  </si>
  <si>
    <t>TWB079</t>
  </si>
  <si>
    <t>TINI WINI BITI WHIZPY MILKY CHOCOLATE</t>
  </si>
  <si>
    <t>TWB080</t>
  </si>
  <si>
    <t>TINI WINI BITI WHIZPY GUMMY BUBBLE GUM</t>
  </si>
  <si>
    <t>TWB085</t>
  </si>
  <si>
    <t>TINI WINI BITI COKELAT FAMILY PACK 38G</t>
  </si>
  <si>
    <t>TWB086</t>
  </si>
  <si>
    <t>TINI WINI BITI KEJU FAMILY PACK 38G</t>
  </si>
  <si>
    <t>TWB087</t>
  </si>
  <si>
    <t>TINI WINI BITI STROBERI FAMILY PACK 38G</t>
  </si>
  <si>
    <t>TWB088</t>
  </si>
  <si>
    <t>TINI WINI BITI SPECIAL PACK 72 G</t>
  </si>
  <si>
    <t>TWB130</t>
  </si>
  <si>
    <t>TWB131</t>
  </si>
  <si>
    <t>TINI WINI BITI MANIS 18 G ISI 10</t>
  </si>
  <si>
    <t>TWB132</t>
  </si>
  <si>
    <t>TINI WINI BITI PIZZA 18 G ISI 10</t>
  </si>
  <si>
    <t>TWB133</t>
  </si>
  <si>
    <t>TWB135</t>
  </si>
  <si>
    <t>TWB170</t>
  </si>
  <si>
    <t>TINI WINI BITI COKELAT 30 G</t>
  </si>
  <si>
    <t>TWB171</t>
  </si>
  <si>
    <t>TINI WINI BITI STROBERI 30 G</t>
  </si>
  <si>
    <t>TWB172</t>
  </si>
  <si>
    <t>TINI WINI BITI JAGUNG MANIS 30 G</t>
  </si>
  <si>
    <t>TWB173</t>
  </si>
  <si>
    <t>TINI WINI BITI ASIN 30 G</t>
  </si>
  <si>
    <t>TWB174</t>
  </si>
  <si>
    <t>TINI WINI BITI MANIS 30 G</t>
  </si>
  <si>
    <t>TWB175</t>
  </si>
  <si>
    <t>TINI WINI BITI KEJU 30 G</t>
  </si>
  <si>
    <t>TWB176</t>
  </si>
  <si>
    <t>TINI WINI BITI SUSU 30 G</t>
  </si>
  <si>
    <t>TWB177</t>
  </si>
  <si>
    <t>TINI WINI BITI PIZZA 30 G</t>
  </si>
  <si>
    <t>TWB178</t>
  </si>
  <si>
    <t>TINI WINI BITI SATE AYAM 30 G</t>
  </si>
  <si>
    <t>TWB179</t>
  </si>
  <si>
    <t>TINI WINI BITI MYSTERIOUS BLACK 30 G</t>
  </si>
  <si>
    <t>TWB180</t>
  </si>
  <si>
    <t>TINI WINI BITI GAME 18 G ASSORTED</t>
  </si>
  <si>
    <t>BOM004</t>
  </si>
  <si>
    <t>BOOM</t>
  </si>
  <si>
    <t>GB 6</t>
  </si>
  <si>
    <t>BOM005</t>
  </si>
  <si>
    <t>BOOM POT 15 G</t>
  </si>
  <si>
    <t>BOM007</t>
  </si>
  <si>
    <t>BOOM SAK 90 G</t>
  </si>
  <si>
    <t>BOM010</t>
  </si>
  <si>
    <t>BOOM STRONG MINT</t>
  </si>
  <si>
    <t>BOM011</t>
  </si>
  <si>
    <t>BOOM POT 15 STRONG MINT</t>
  </si>
  <si>
    <t>BOM013</t>
  </si>
  <si>
    <t>BOOM SAK 90 STRONG MINT</t>
  </si>
  <si>
    <t>BOM016</t>
  </si>
  <si>
    <t>BOOM STICK STOPLES /30</t>
  </si>
  <si>
    <t>FRO001</t>
  </si>
  <si>
    <t>FROZZ MINT</t>
  </si>
  <si>
    <t>FRO002</t>
  </si>
  <si>
    <t>FROZZ BARLEY MINT</t>
  </si>
  <si>
    <t>FRO003</t>
  </si>
  <si>
    <t>FROZZ CHERRY MINT</t>
  </si>
  <si>
    <t>FRO005</t>
  </si>
  <si>
    <t>FROZZ ORANGE MINT</t>
  </si>
  <si>
    <t>FRO011</t>
  </si>
  <si>
    <t>FROZZ BLUEBERRY MINT</t>
  </si>
  <si>
    <t>FRO017</t>
  </si>
  <si>
    <t>FROZZ BLACKBERRY MINT</t>
  </si>
  <si>
    <t>FRO023</t>
  </si>
  <si>
    <t>FROZZ COOL MINT</t>
  </si>
  <si>
    <t>FRO025</t>
  </si>
  <si>
    <t>FROZZ ANGGUR MINT</t>
  </si>
  <si>
    <t>FRO027</t>
  </si>
  <si>
    <t>FROZZ LEMON MINT</t>
  </si>
  <si>
    <t>FRO033</t>
  </si>
  <si>
    <t>FROZZ PINKBERRY (STRAWBERRY MINT)</t>
  </si>
  <si>
    <t>FRO038</t>
  </si>
  <si>
    <t>FROZZ MANGO BINGSOO (MANGGA MINT)</t>
  </si>
  <si>
    <t>HEX001</t>
  </si>
  <si>
    <t>HEXOS MINT</t>
  </si>
  <si>
    <t>HEX002</t>
  </si>
  <si>
    <t>HEXOS LEMON MINT</t>
  </si>
  <si>
    <t>HEX003</t>
  </si>
  <si>
    <t>HEXOS BARLEY MINT</t>
  </si>
  <si>
    <t>HEX007</t>
  </si>
  <si>
    <t>HEXOS MINT 20 BUTIR</t>
  </si>
  <si>
    <t>HEX013</t>
  </si>
  <si>
    <t>HEXOS MINT STOPLES /50 (6 STP)</t>
  </si>
  <si>
    <t>HEX034</t>
  </si>
  <si>
    <t>HEXOS STOPLES /25 (12)</t>
  </si>
  <si>
    <t>HEX048</t>
  </si>
  <si>
    <t>HEXOS MINT 8 BUTIR</t>
  </si>
  <si>
    <t>HEX049</t>
  </si>
  <si>
    <t>HEXOS LEMON MINT 8 BUTIR</t>
  </si>
  <si>
    <t>HEX050</t>
  </si>
  <si>
    <t>HEXOS COOL MINT (BLAST) 8 BUTIR</t>
  </si>
  <si>
    <t>HEX052</t>
  </si>
  <si>
    <t>HEXOS LAVENDER MINT (BLISS) 8 BUTIR</t>
  </si>
  <si>
    <t>HEX053</t>
  </si>
  <si>
    <t>HEX100</t>
  </si>
  <si>
    <t>HEXOS SARMENTO SARSAPARILLA MINT 5 BUTIR</t>
  </si>
  <si>
    <t>HEX101</t>
  </si>
  <si>
    <t>HEXOS SARMENTO SARSAPARILLA MINT 20 BTR</t>
  </si>
  <si>
    <t>HEX104</t>
  </si>
  <si>
    <t>HEXOS DALGONA MINT 5 BUTIR</t>
  </si>
  <si>
    <t>HEX105</t>
  </si>
  <si>
    <t>HEXOS BUZZ MINT</t>
  </si>
  <si>
    <t>HEX111</t>
  </si>
  <si>
    <t>HEXOS CHOCO MINT 5 BUTIR</t>
  </si>
  <si>
    <t>HEX112</t>
  </si>
  <si>
    <t>HEXOS COOL MINT 100 G SAK</t>
  </si>
  <si>
    <t>HEX113</t>
  </si>
  <si>
    <t>HEXOS COOL CHERRY MINT 100 G SAK</t>
  </si>
  <si>
    <t>HEX115</t>
  </si>
  <si>
    <t>HEXOS MINT 125 G KALENG FESTIVE</t>
  </si>
  <si>
    <t>NAN001</t>
  </si>
  <si>
    <t>NANO NANO KULIT JERUK</t>
  </si>
  <si>
    <t>NAN003</t>
  </si>
  <si>
    <t>NANO NANO BELIMBING</t>
  </si>
  <si>
    <t>NAN004</t>
  </si>
  <si>
    <t>NANO NANO RUJAK NANAS</t>
  </si>
  <si>
    <t>NAN012</t>
  </si>
  <si>
    <t>NANO NANO STOPLES /30 (10 STP)</t>
  </si>
  <si>
    <t>NAN015</t>
  </si>
  <si>
    <t>NANO NANO SALSA JERUK NIPIS</t>
  </si>
  <si>
    <t>NAN016</t>
  </si>
  <si>
    <t>NANO NANO SALSA MANGGA</t>
  </si>
  <si>
    <t>NAN017</t>
  </si>
  <si>
    <t>NANO NANO SALSA JERUK</t>
  </si>
  <si>
    <t>NAN018</t>
  </si>
  <si>
    <t>NANO NANO SALSA STRAWBERRY</t>
  </si>
  <si>
    <t>NAN019</t>
  </si>
  <si>
    <t>NANO NANO SALSA MINT</t>
  </si>
  <si>
    <t>NAN037</t>
  </si>
  <si>
    <t>NANO NANO MILKY COKLAT SACHET</t>
  </si>
  <si>
    <t>NAN038</t>
  </si>
  <si>
    <t>NANO NANO MILKY STROBERI SACHET</t>
  </si>
  <si>
    <t>NAN039</t>
  </si>
  <si>
    <t>NANO NANO MILKY VANILA SACHET</t>
  </si>
  <si>
    <t>NAN044</t>
  </si>
  <si>
    <t>NANO NANO SALSA GP (NEW)</t>
  </si>
  <si>
    <t>NAN052</t>
  </si>
  <si>
    <t>NANO NANO ASAM JAWA</t>
  </si>
  <si>
    <t>NAN053</t>
  </si>
  <si>
    <t>NANO NANO MILKY COOKIES &amp; CREAM SCH</t>
  </si>
  <si>
    <t>NAN054</t>
  </si>
  <si>
    <t>NANO NANO MILKY TARO SCH</t>
  </si>
  <si>
    <t>NAN055</t>
  </si>
  <si>
    <t>NANO NANO KULIT JERUK POUCH 8 BUTIR</t>
  </si>
  <si>
    <t>NAN057</t>
  </si>
  <si>
    <t>NANO NANO SIRSAK SACHET 5</t>
  </si>
  <si>
    <t>NAN058</t>
  </si>
  <si>
    <t>NANO NANO JAMBU SACHET 5</t>
  </si>
  <si>
    <t>NAN059</t>
  </si>
  <si>
    <t>NANO NANO ANGGUR SACHET 5</t>
  </si>
  <si>
    <t>NAN098</t>
  </si>
  <si>
    <t>NANO NANO DALGONA SACHET 5</t>
  </si>
  <si>
    <t>NAN103</t>
  </si>
  <si>
    <t>NANO SALSA FESTIVA 60 BUTIR KALENG</t>
  </si>
  <si>
    <t>NAN120</t>
  </si>
  <si>
    <t>NANO NANO ZUZUU COKLAT  RENTENG</t>
  </si>
  <si>
    <t>NAN121</t>
  </si>
  <si>
    <t>NANO NANO ZUZUU STROBERI RENTENG</t>
  </si>
  <si>
    <t>NAN141</t>
  </si>
  <si>
    <t>NANO KULIT JERUK 112,5 G KALENG FESTIVE</t>
  </si>
  <si>
    <t>NNA001</t>
  </si>
  <si>
    <t>NANO NANO ASSORTED (KJ, YZ, LM) 30 BUTIR</t>
  </si>
  <si>
    <t>SMT001</t>
  </si>
  <si>
    <t>SMT004</t>
  </si>
  <si>
    <t>GB ET</t>
  </si>
  <si>
    <t>ALO003</t>
  </si>
  <si>
    <t>ALLOGON KAPLET 500</t>
  </si>
  <si>
    <t>AVA001</t>
  </si>
  <si>
    <t>AVASTOR 40 KAPLET SALUT-10</t>
  </si>
  <si>
    <t>AVA002</t>
  </si>
  <si>
    <t>AVASTOR 10 TABLET SALUT-10</t>
  </si>
  <si>
    <t>AVA003</t>
  </si>
  <si>
    <t>AVASTOR 20 KAPLET SALUT-10</t>
  </si>
  <si>
    <t>AXI002</t>
  </si>
  <si>
    <t>AXION NEW</t>
  </si>
  <si>
    <t>BIF001</t>
  </si>
  <si>
    <t>BIFIDO ORALLY SOLUBLE FILM</t>
  </si>
  <si>
    <t>BLG003</t>
  </si>
  <si>
    <t>BIOLERGY KAPLET</t>
  </si>
  <si>
    <t>CAL001</t>
  </si>
  <si>
    <t>CALOREX SYRUP 60 ML</t>
  </si>
  <si>
    <t>CBR001</t>
  </si>
  <si>
    <t>CEBRALIN KAPSUL 10</t>
  </si>
  <si>
    <t>CLI001</t>
  </si>
  <si>
    <t>CLIMINEX KAPSUL 10</t>
  </si>
  <si>
    <t>CNX002</t>
  </si>
  <si>
    <t>CARNEXID INJEKSI 5 ML ISI 30</t>
  </si>
  <si>
    <t>CNX003</t>
  </si>
  <si>
    <t>CARNEXID TABLET 10</t>
  </si>
  <si>
    <t>CYF001</t>
  </si>
  <si>
    <t>CYFLOXAN KAPLET SALUT  6</t>
  </si>
  <si>
    <t>CYL008</t>
  </si>
  <si>
    <t>CYLOWAM KAPLET 500 SALUT 10</t>
  </si>
  <si>
    <t>DES001</t>
  </si>
  <si>
    <t>DESOMEX CREAM</t>
  </si>
  <si>
    <t>DIP002</t>
  </si>
  <si>
    <t>DIPROSTA 5 G</t>
  </si>
  <si>
    <t>DIU001</t>
  </si>
  <si>
    <t>DIUTENSI INJEKSI 2 ML</t>
  </si>
  <si>
    <t>DIU003</t>
  </si>
  <si>
    <t>DIUTENSI TABLET 10</t>
  </si>
  <si>
    <t>ECD001</t>
  </si>
  <si>
    <t>ESCORDIA KAPSUL 6</t>
  </si>
  <si>
    <t>ECP001</t>
  </si>
  <si>
    <t>ESCORPID TABLET 10</t>
  </si>
  <si>
    <t>ECT001</t>
  </si>
  <si>
    <t>ESCORTE KAPSUL 6</t>
  </si>
  <si>
    <t>ECT002</t>
  </si>
  <si>
    <t>ESCORTIN KAPSUL LUNAK</t>
  </si>
  <si>
    <t>ELM001</t>
  </si>
  <si>
    <t>ELMETA KAPSUL 6</t>
  </si>
  <si>
    <t>ENR001</t>
  </si>
  <si>
    <t>ENERIN SACHET</t>
  </si>
  <si>
    <t>ESC004</t>
  </si>
  <si>
    <t>KONI E 400 SOFT CAPSULE STRIP NEW</t>
  </si>
  <si>
    <t>ESN001</t>
  </si>
  <si>
    <t>ESNERO TABLET 6</t>
  </si>
  <si>
    <t>ESP001</t>
  </si>
  <si>
    <t>ESCOPAR KAPSUL 6</t>
  </si>
  <si>
    <t>ESR001</t>
  </si>
  <si>
    <t>ESCARO KAPSUL 6</t>
  </si>
  <si>
    <t>FLC001</t>
  </si>
  <si>
    <t>FORLACTIN KAPSUL 6</t>
  </si>
  <si>
    <t>FML001</t>
  </si>
  <si>
    <t>Q-FOMIL KAPLET SALUT 10</t>
  </si>
  <si>
    <t>FRD001</t>
  </si>
  <si>
    <t>FORDONTIS ORANGE MINT 120</t>
  </si>
  <si>
    <t>FRD002</t>
  </si>
  <si>
    <t>FORDONTIS ORIGINAL MINT 120</t>
  </si>
  <si>
    <t>FRM001</t>
  </si>
  <si>
    <t>FOREMES KAPLET STRIP ISI 6</t>
  </si>
  <si>
    <t>FRT001</t>
  </si>
  <si>
    <t>FORETRA KAPSUL 6</t>
  </si>
  <si>
    <t>GDA001</t>
  </si>
  <si>
    <t>GLIDIA MR KAPLET 10</t>
  </si>
  <si>
    <t>GLD001</t>
  </si>
  <si>
    <t>GLUDITIN TABLET SALUT 10</t>
  </si>
  <si>
    <t>GLI009</t>
  </si>
  <si>
    <t>GLISEND EXPECTORANT</t>
  </si>
  <si>
    <t>GLI010</t>
  </si>
  <si>
    <t>GLISEND TABLET 10</t>
  </si>
  <si>
    <t>GLU001</t>
  </si>
  <si>
    <t>GLUTAZON TABLET 10</t>
  </si>
  <si>
    <t>HEL002</t>
  </si>
  <si>
    <t>HELTISKIN 5 G</t>
  </si>
  <si>
    <t>KBB001</t>
  </si>
  <si>
    <t>KONBLOBET TABLET 10</t>
  </si>
  <si>
    <t>KCO001</t>
  </si>
  <si>
    <t>KONICORT TABLET 10</t>
  </si>
  <si>
    <t>KCZ001</t>
  </si>
  <si>
    <t>KONI CZ KAPSUL 6</t>
  </si>
  <si>
    <t>KFL001</t>
  </si>
  <si>
    <t>KONIFLAM TABLET</t>
  </si>
  <si>
    <t>KLS001</t>
  </si>
  <si>
    <t>KALISTO 30 KAPSUL LUNAK</t>
  </si>
  <si>
    <t>KNB001</t>
  </si>
  <si>
    <t>KONIBAL TABLET 10</t>
  </si>
  <si>
    <t>KND001</t>
  </si>
  <si>
    <t>KONIDERM CREAM 10 G</t>
  </si>
  <si>
    <t>KNF003</t>
  </si>
  <si>
    <t>XIMEX KONIFLOX 5 ML 144</t>
  </si>
  <si>
    <t>KNF004</t>
  </si>
  <si>
    <t>XIMEX KONIFLOX 0,6 ML</t>
  </si>
  <si>
    <t>KNG004</t>
  </si>
  <si>
    <t>(N/A)KONIMAG SUSPENSI 7 ML</t>
  </si>
  <si>
    <t>KNG006</t>
  </si>
  <si>
    <t>KONIMAG FORTE 100 ML BOTOL</t>
  </si>
  <si>
    <t>KNP001</t>
  </si>
  <si>
    <t>KONIPID 5 TABLET 10</t>
  </si>
  <si>
    <t>KNP002</t>
  </si>
  <si>
    <t>KONIPID 10 TABLET 10</t>
  </si>
  <si>
    <t>KNX002</t>
  </si>
  <si>
    <t>KONIXON TABLET 10</t>
  </si>
  <si>
    <t>KOG001</t>
  </si>
  <si>
    <t>KONIGEN CREAM 10 G</t>
  </si>
  <si>
    <t>KQ0003</t>
  </si>
  <si>
    <t>KQ 100 SOFT CAPSULE (NEW)</t>
  </si>
  <si>
    <t>KUR001</t>
  </si>
  <si>
    <t>KURKUMEX SIRUP</t>
  </si>
  <si>
    <t>KUR005</t>
  </si>
  <si>
    <t>KURKUMEX KAPLET /10</t>
  </si>
  <si>
    <t>LIN001</t>
  </si>
  <si>
    <t>LINESTI INJEKSI  2 ML</t>
  </si>
  <si>
    <t>MAD003</t>
  </si>
  <si>
    <t>MADROX NEW</t>
  </si>
  <si>
    <t>MAT001</t>
  </si>
  <si>
    <t>MATROVIR 10 G</t>
  </si>
  <si>
    <t>MAT005</t>
  </si>
  <si>
    <t>MATROVIR TABLET /10</t>
  </si>
  <si>
    <t>MED001</t>
  </si>
  <si>
    <t>MEDITHIN KAPSUL</t>
  </si>
  <si>
    <t>MOT001</t>
  </si>
  <si>
    <t>MOTESON CREAM</t>
  </si>
  <si>
    <t>NAS004</t>
  </si>
  <si>
    <t>NASAMEX FORTE NEW</t>
  </si>
  <si>
    <t>NAU002</t>
  </si>
  <si>
    <t>NAUSIMEX TABLET (NEW)</t>
  </si>
  <si>
    <t>NAU003</t>
  </si>
  <si>
    <t>NAUSIMEX INJEKSI 2 ML</t>
  </si>
  <si>
    <t>NFR002</t>
  </si>
  <si>
    <t>NEFROMEX NEW</t>
  </si>
  <si>
    <t>NRL001</t>
  </si>
  <si>
    <t>NOTEROL 10 TABLET SALUT</t>
  </si>
  <si>
    <t>OPX004</t>
  </si>
  <si>
    <t>XIMEX OPTIXITROL 5 ML 144</t>
  </si>
  <si>
    <t>OSV001</t>
  </si>
  <si>
    <t>OSVITBON KAPSUL 6</t>
  </si>
  <si>
    <t>OTM001</t>
  </si>
  <si>
    <t>OPTIMUNO TABLET 6</t>
  </si>
  <si>
    <t>PTR001</t>
  </si>
  <si>
    <t>PEPTOR TABLET SALUT 10</t>
  </si>
  <si>
    <t>RXP001</t>
  </si>
  <si>
    <t>REXAPIN TABLET 10</t>
  </si>
  <si>
    <t>SIR001</t>
  </si>
  <si>
    <t>SIRINOL TABLET 10</t>
  </si>
  <si>
    <t>SIS001</t>
  </si>
  <si>
    <t>SISNOFEN KAPLET SALUT 10</t>
  </si>
  <si>
    <t>SOR001</t>
  </si>
  <si>
    <t>SORBICARD TABLET SUBLINGUAL 10</t>
  </si>
  <si>
    <t>SPC001</t>
  </si>
  <si>
    <t>SPASCO TABLET SALUT 10</t>
  </si>
  <si>
    <t>SPC002</t>
  </si>
  <si>
    <t>SPASCO PLUS KAPLET SALUT 10</t>
  </si>
  <si>
    <t>STD001</t>
  </si>
  <si>
    <t>STADIAR TABLET 10</t>
  </si>
  <si>
    <t>SUC001</t>
  </si>
  <si>
    <t>SUCRALTIS 100 ML</t>
  </si>
  <si>
    <t>TEN001</t>
  </si>
  <si>
    <t>TENSINEL TABLET 10</t>
  </si>
  <si>
    <t>TET002</t>
  </si>
  <si>
    <t>XIMEX TETRIUM 0,6 ML</t>
  </si>
  <si>
    <t>PBL001</t>
  </si>
  <si>
    <t>POP BALLS MINI COKELAT 19 G</t>
  </si>
  <si>
    <t>PBL002</t>
  </si>
  <si>
    <t>POP BALLS MINI MIE GORENG 18 G</t>
  </si>
  <si>
    <t>GST001</t>
  </si>
  <si>
    <t>GASTRODAN KAPSUL 6</t>
  </si>
  <si>
    <t>KOD003</t>
  </si>
  <si>
    <t>KONI D 5000 TABLET SALUT STRIP 6</t>
  </si>
  <si>
    <t>SMT006</t>
  </si>
  <si>
    <t>EVE028</t>
  </si>
  <si>
    <t>EVER E ESSENSIA SOFT CAPSULE STRIP /12</t>
  </si>
  <si>
    <t>KHM001</t>
  </si>
  <si>
    <t>KONILIFE HEMOROCARE AMPLOP KAPSUL 6</t>
  </si>
  <si>
    <t>Principal_product_code</t>
  </si>
  <si>
    <t>ANAK-  -K-030-  -56</t>
  </si>
  <si>
    <t>ANAK-  -K-060-  -60</t>
  </si>
  <si>
    <t>ANAB-  -K-030-  -56</t>
  </si>
  <si>
    <t>ANAB-  -K-060-  -60</t>
  </si>
  <si>
    <t>ASKA-  -K-004-  -A4</t>
  </si>
  <si>
    <t>FEMI-  -K-004-  -J8</t>
  </si>
  <si>
    <t>FEVB-  -K-004-  -76</t>
  </si>
  <si>
    <t>FMLH-  -K-015-  -R4</t>
  </si>
  <si>
    <t>FMLH-  -K-015-  -R5</t>
  </si>
  <si>
    <t>INZK-  -K-004-  -A1</t>
  </si>
  <si>
    <t>INFB-  -K-004-  -A1</t>
  </si>
  <si>
    <t>KLOZ-  -K-006-  -75</t>
  </si>
  <si>
    <t>KLOZ-MT-K-006-  -75</t>
  </si>
  <si>
    <t>KLOZ-HM-K-006-  -75</t>
  </si>
  <si>
    <t>KOBH-01-K-007-  -A2</t>
  </si>
  <si>
    <t>KOND-  -K-004-  -J8</t>
  </si>
  <si>
    <t>KVS1-  -K-010-  -40</t>
  </si>
  <si>
    <t>KVXK-  -K-002-  -K1</t>
  </si>
  <si>
    <t>TERS-  -K-030-X1-56</t>
  </si>
  <si>
    <t>TERS-  -K-060-X1-60</t>
  </si>
  <si>
    <t>TEPS-  -K-030-  -56</t>
  </si>
  <si>
    <t>TEPS-  -K-060-  -60</t>
  </si>
  <si>
    <t>TERB-  -K-015-  -86</t>
  </si>
  <si>
    <t>XILT-  -K-006-  -Q6</t>
  </si>
  <si>
    <t>XILS-  -K-060-  -60</t>
  </si>
  <si>
    <t>FRKF-  -K-030-  -86</t>
  </si>
  <si>
    <t>FRKM-  -K-030-  -86</t>
  </si>
  <si>
    <t>FRST-  -K-013-  -40</t>
  </si>
  <si>
    <t>FMMU-  -K-013-  -40</t>
  </si>
  <si>
    <t>FASR-  -K-013-  -40</t>
  </si>
  <si>
    <t>KUAS-  -K-025-  -A3</t>
  </si>
  <si>
    <t>SATL-  -K-018-  -A3</t>
  </si>
  <si>
    <t>BERK-  -K-018-  -A3</t>
  </si>
  <si>
    <t>KASM-  -K-025-  -A3</t>
  </si>
  <si>
    <t>SJSF-  -K-007-  -A3</t>
  </si>
  <si>
    <t>STSF-  -K-007-  -A3</t>
  </si>
  <si>
    <t>UWUH-  -K-018-  -A3</t>
  </si>
  <si>
    <t>SUJA-  -K-020-  -A3</t>
  </si>
  <si>
    <t>BJGR-  -K-015-  -Q2</t>
  </si>
  <si>
    <t>HJKJ-  -K-018-  -A3</t>
  </si>
  <si>
    <t>JAHE-  -K-022-  -A3</t>
  </si>
  <si>
    <t>KNBD-  -K-060-  -60</t>
  </si>
  <si>
    <t>KBBK-  -K-100-  -60</t>
  </si>
  <si>
    <t>KMKP-  -K-060-  -60</t>
  </si>
  <si>
    <t>KMKP-  -K-030-  -86</t>
  </si>
  <si>
    <t>KMKP-  -K-125-  -F4</t>
  </si>
  <si>
    <t>KMPP-  -K-030-  -86</t>
  </si>
  <si>
    <t>KMPP-  -K-060-  -60</t>
  </si>
  <si>
    <t>KMPP-  -K-125-  -F4</t>
  </si>
  <si>
    <t>KMKH-  -K-060-  -60</t>
  </si>
  <si>
    <t>KMKH-  -K-125-  -F4</t>
  </si>
  <si>
    <t>KOBO-  -K-060-  -60</t>
  </si>
  <si>
    <t>KMTE-  -K-060-  -60</t>
  </si>
  <si>
    <t>KMTE-  -K-030-  -86</t>
  </si>
  <si>
    <t>KMTE-  -K-125-  -F4</t>
  </si>
  <si>
    <t>KMTP-  -K-030-  -86</t>
  </si>
  <si>
    <t>KMTP-  -K-060-  -60</t>
  </si>
  <si>
    <t>KMTP-  -K-125-  -F4</t>
  </si>
  <si>
    <t>KTLG-  -K-060-  -60</t>
  </si>
  <si>
    <t>KTLG-  -K-125-  -F4</t>
  </si>
  <si>
    <t>KTPL-  -K-060-  -60</t>
  </si>
  <si>
    <t>KTPL-  -K-125-  -F4</t>
  </si>
  <si>
    <t>KMZA-  -K-060-  -60</t>
  </si>
  <si>
    <t>KBHL-  -K-100-  -24</t>
  </si>
  <si>
    <t>KBBN-  -K-300-  -17</t>
  </si>
  <si>
    <t>KBBA-  -K-200-  -17</t>
  </si>
  <si>
    <t>KBBA-  -K-200-RF-17</t>
  </si>
  <si>
    <t>KBPF-  -K-100-  -24</t>
  </si>
  <si>
    <t>KBPF-  -K-200-  -17</t>
  </si>
  <si>
    <t>KBPP-  -K-100-  -24</t>
  </si>
  <si>
    <t>KBPP-  -K-200-  -17</t>
  </si>
  <si>
    <t>KBCL-  -K-100-  -D5</t>
  </si>
  <si>
    <t>KBCM-  -K-100-  -D5</t>
  </si>
  <si>
    <t>KBLO-  -K-060-  -D5</t>
  </si>
  <si>
    <t>KGPG-  -K-060-  -60</t>
  </si>
  <si>
    <t>KNVC-  -K-030-  -F4</t>
  </si>
  <si>
    <t>PREG-  -K-001-  -R8</t>
  </si>
  <si>
    <t>PREC-  -K-001-  -R9</t>
  </si>
  <si>
    <t>TMTC-  -K-030-  -86</t>
  </si>
  <si>
    <t>TMTC-  -K-060-  -60</t>
  </si>
  <si>
    <t>TMTC-  -K-125-  -F4</t>
  </si>
  <si>
    <t>TMTL-  -K-030-  -86</t>
  </si>
  <si>
    <t>TMTL-  -K-060-  -60</t>
  </si>
  <si>
    <t>TMTL-  -K-125-  -F4</t>
  </si>
  <si>
    <t>VIGE-  -K-060-  -97</t>
  </si>
  <si>
    <t>VIGE-  -K-030-  -D5</t>
  </si>
  <si>
    <t>VI21-  -K-125-  -H5</t>
  </si>
  <si>
    <t>VITI-  -K-050-  -97</t>
  </si>
  <si>
    <t>VIDO-  -K-030-  -D5</t>
  </si>
  <si>
    <t>VISO-  -K-030-  -D5</t>
  </si>
  <si>
    <t>V21P-  -K-125-  -H5</t>
  </si>
  <si>
    <t>EES1-  -K-030-  -60</t>
  </si>
  <si>
    <t>EES1-  -K-006-  -F2</t>
  </si>
  <si>
    <t>EES1-  -K-006-  -J1</t>
  </si>
  <si>
    <t>EEVC-  -K-030-  -60</t>
  </si>
  <si>
    <t>EVCA-  -K-030-  -F4</t>
  </si>
  <si>
    <t>EVCA-  -K-006-  -O8</t>
  </si>
  <si>
    <t>JESS-  -K-001-  -90</t>
  </si>
  <si>
    <t>JESS-  -K-006-  -E2</t>
  </si>
  <si>
    <t>JESS-LT-K-001-  -90</t>
  </si>
  <si>
    <t>JESS-LT-K-006-  -E2</t>
  </si>
  <si>
    <t>KBON-  -K-030-  -60</t>
  </si>
  <si>
    <t>CHLO-  -K-030-  -60</t>
  </si>
  <si>
    <t>COQ1-  -K-030-  -97</t>
  </si>
  <si>
    <t>KDIC-  -K-007-  -82</t>
  </si>
  <si>
    <t>KENZ-  -K-030-  -97</t>
  </si>
  <si>
    <t>KFER-  -K-030-  -97</t>
  </si>
  <si>
    <t>FOCS-  -K-030-  -97</t>
  </si>
  <si>
    <t>GLUC-  -K-030-  -60</t>
  </si>
  <si>
    <t>IMNE-  -K-030-  -60</t>
  </si>
  <si>
    <t>KKID-  -K-030-  -97</t>
  </si>
  <si>
    <t>KKLS-  -K-030-  -97</t>
  </si>
  <si>
    <t>KLAK-  -K-030-  -97</t>
  </si>
  <si>
    <t>KD10-  -K-010-  -M8</t>
  </si>
  <si>
    <t>KD10-  -K-010-  -H7</t>
  </si>
  <si>
    <t>KD34-  -K-030-  -97</t>
  </si>
  <si>
    <t>LIVG-  -K-030-  -97</t>
  </si>
  <si>
    <t>KMAT-  -K-030-  -97</t>
  </si>
  <si>
    <t>KNOM-  -K-030-  -97</t>
  </si>
  <si>
    <t>O369-  -K-030-  -60</t>
  </si>
  <si>
    <t>KOGR-  -K-030-  -97</t>
  </si>
  <si>
    <t>KOXI-  -K-030-  -60</t>
  </si>
  <si>
    <t>PRMT-  -K-030-  -97</t>
  </si>
  <si>
    <t>REDX-  -K-030-  -97</t>
  </si>
  <si>
    <t>KRIL-  -K-030-  -97</t>
  </si>
  <si>
    <t>KSLI-  -K-030-  -97</t>
  </si>
  <si>
    <t>KTHR-  -K-030-  -97</t>
  </si>
  <si>
    <t>KOPT-  -K-030-  -97</t>
  </si>
  <si>
    <t>URAF-  -K-030-  -60</t>
  </si>
  <si>
    <t>KURI-  -K-030-  -97</t>
  </si>
  <si>
    <t>KVSN-  -K-030-  -60</t>
  </si>
  <si>
    <t>KVPR-  -K-030-  -97</t>
  </si>
  <si>
    <t>PROD-  -K-010-  -S4</t>
  </si>
  <si>
    <t>PROS-  -K-010-  -S4</t>
  </si>
  <si>
    <t>PROO-  -K-010-  -S4</t>
  </si>
  <si>
    <t>PROO-  -K-001-  -F5</t>
  </si>
  <si>
    <t>PROS-  -K-001-  -81</t>
  </si>
  <si>
    <t>PROD-  -K-001-  -81</t>
  </si>
  <si>
    <t>PROA-  -K-006-  -J1</t>
  </si>
  <si>
    <t>RENO-  -K-030-  -60</t>
  </si>
  <si>
    <t>RENO-  -K-004-  -F3</t>
  </si>
  <si>
    <t>RENO-GO-K-030-  -60</t>
  </si>
  <si>
    <t>RENO-GO-K-004-  -F3</t>
  </si>
  <si>
    <t>RENO-KO-K-030-  -F4</t>
  </si>
  <si>
    <t>RENO-KS-K-030-  -F4</t>
  </si>
  <si>
    <t>BRAO-  -K-005-  -86</t>
  </si>
  <si>
    <t>BRAT-  -K-005-  -86</t>
  </si>
  <si>
    <t>BRAO-  -K-505-  -60</t>
  </si>
  <si>
    <t>FUNC-  -K-005-  -56</t>
  </si>
  <si>
    <t>FUNC-  -K-010-  -56</t>
  </si>
  <si>
    <t>HANG-  -K-015-  -Q5</t>
  </si>
  <si>
    <t>HANG-  -K-015-  -Q4</t>
  </si>
  <si>
    <t>NNAP-  -K-004-  -J8</t>
  </si>
  <si>
    <t>PARX-  -K-004-  -A4</t>
  </si>
  <si>
    <t>PARX-01-K-004-  -A4</t>
  </si>
  <si>
    <t>PANO-  -K-004-  -A1</t>
  </si>
  <si>
    <t>PARK-  -K-006-  -75</t>
  </si>
  <si>
    <t>PAFE-  -K-004-  -A1</t>
  </si>
  <si>
    <t>PNOH-  -K-060-  -B7</t>
  </si>
  <si>
    <t>PNOH-  -K-030-  -B7</t>
  </si>
  <si>
    <t>SIME-  -K-030-  -56</t>
  </si>
  <si>
    <t>SICC-  -K-030-  -56</t>
  </si>
  <si>
    <t>SIME-  -K-060-  -60</t>
  </si>
  <si>
    <t>SICC-  -K-060-  -60</t>
  </si>
  <si>
    <t>SICC-  -K-100-  -60</t>
  </si>
  <si>
    <t>SIAT-  -K-030-  -56</t>
  </si>
  <si>
    <t>SIAT-  -K-060-  -60</t>
  </si>
  <si>
    <t>SIAT-  -K-100-  -60</t>
  </si>
  <si>
    <t>SIDM-  -K-030-  -56</t>
  </si>
  <si>
    <t>SIDM-  -K-060-  -60</t>
  </si>
  <si>
    <t>SIFU-  -K-060-  -60</t>
  </si>
  <si>
    <t>SICH-  -K-060-  -60</t>
  </si>
  <si>
    <t>VIRU-  -K-005-  -56</t>
  </si>
  <si>
    <t>DACH-NC-K-020-NP-Q6</t>
  </si>
  <si>
    <t>DACH-ND-K-020-NP-Q6</t>
  </si>
  <si>
    <t>DACH-NG-K-020-NP-Q6</t>
  </si>
  <si>
    <t>DACH-NK-K-020-NP-Q6</t>
  </si>
  <si>
    <t>DACH-TT-K-020-NP-Q6</t>
  </si>
  <si>
    <t>DACH-AY-K-026-NP-Q6</t>
  </si>
  <si>
    <t>DACH-OT-K-020-NP-Q6</t>
  </si>
  <si>
    <t>DACH-SY-K-020-NP-Q6</t>
  </si>
  <si>
    <t>DACH-NC-K-020-NP-G1</t>
  </si>
  <si>
    <t>DACH-ND-K-020-NP-G1</t>
  </si>
  <si>
    <t>DACH-NG-K-020-NP-G1</t>
  </si>
  <si>
    <t>DACH-NK-K-020-NP-G1</t>
  </si>
  <si>
    <t>DACH-TT-K-020-NP-G1</t>
  </si>
  <si>
    <t>DACH-OT-K-020-NP-G1</t>
  </si>
  <si>
    <t>DACH-SY-K-020-NP-G1</t>
  </si>
  <si>
    <t>DACH-AY-K-026-NP-G1</t>
  </si>
  <si>
    <t>BRGL-BT-K-100-  -24</t>
  </si>
  <si>
    <t>BRGL-CO-K-100-  -24</t>
  </si>
  <si>
    <t>BDEL-AD-K-246-  -13</t>
  </si>
  <si>
    <t>BSUR-CO-K-015-  -D5</t>
  </si>
  <si>
    <t>BRGL-BT-K-035-  -B6</t>
  </si>
  <si>
    <t>BRGL-CO-K-035-  -B6</t>
  </si>
  <si>
    <t>BRGL-SU-K-035-  -B6</t>
  </si>
  <si>
    <t>BRGL-A2-K-280-  -28</t>
  </si>
  <si>
    <t>BRGL-BO-K-280-  -28</t>
  </si>
  <si>
    <t>CHLT-  -K-038-  -24</t>
  </si>
  <si>
    <t>CHLT-RC-K-038-  -24</t>
  </si>
  <si>
    <t>CHLT-KE-K-019-  -40</t>
  </si>
  <si>
    <t>CHLT-RC-K-150-  -06</t>
  </si>
  <si>
    <t>CHLT-CF-K-019-  -40</t>
  </si>
  <si>
    <t>CHLT-  -K-015-  -B6</t>
  </si>
  <si>
    <t>CHLT-RC-K-015-  -B6</t>
  </si>
  <si>
    <t>CHLT-KE-K-038-  -24</t>
  </si>
  <si>
    <t>CCOL-CO-K-029-  -D5</t>
  </si>
  <si>
    <t>CCOL-SE-K-029-  -D5</t>
  </si>
  <si>
    <t>CCOL-YS-K-029-  -D5</t>
  </si>
  <si>
    <t>CLEZ-DC-K-023-  -B6</t>
  </si>
  <si>
    <t>CLEZ-CS-K-023-  -B6</t>
  </si>
  <si>
    <t>CHMA-RC-K-069-  -24</t>
  </si>
  <si>
    <t>CHMA-  -K-069-  -24</t>
  </si>
  <si>
    <t>CHMA-CF-K-069-  -24</t>
  </si>
  <si>
    <t>CHMA-CE-K-069-  -24</t>
  </si>
  <si>
    <t>CHMA-AD-K-207-  -13</t>
  </si>
  <si>
    <t>CMWC-CO-K-070-  -24</t>
  </si>
  <si>
    <t>CMWC-TR-K-070-  -24</t>
  </si>
  <si>
    <t>DFCH-GB-K-050-UK-21</t>
  </si>
  <si>
    <t>DFCH-KE-K-050-UK-21</t>
  </si>
  <si>
    <t>DFWF-CO-K-190-  -06</t>
  </si>
  <si>
    <t>DFWF-VN-K-180-  -06</t>
  </si>
  <si>
    <t>DFWF-CO-K-019-  -P1</t>
  </si>
  <si>
    <t>DFWF-VN-K-018-  -P9</t>
  </si>
  <si>
    <t>GGWF-CO-K-102-  -17</t>
  </si>
  <si>
    <t>GGWF-KE-K-102-  -17</t>
  </si>
  <si>
    <t>GGWF-HO-K-102-  -17</t>
  </si>
  <si>
    <t>GGWF-CO-K-016-  -P3</t>
  </si>
  <si>
    <t>GGWF-KE-K-016-  -P3</t>
  </si>
  <si>
    <t>GGWF-CO-K-035-60-B6</t>
  </si>
  <si>
    <t>GGWF-KE-K-035-60-B6</t>
  </si>
  <si>
    <t>HOTA-UP-K-008-NP-Q6</t>
  </si>
  <si>
    <t>HOTA-TE-K-008-NP-Q6</t>
  </si>
  <si>
    <t>HOTA-GB-K-008-NP-Q6</t>
  </si>
  <si>
    <t>HOTA-OG-K-008-NP-Q6</t>
  </si>
  <si>
    <t>NNZU-BG-K-010-  -40</t>
  </si>
  <si>
    <t>TWBO-RB-K-057-  -24</t>
  </si>
  <si>
    <t>WHZP-ST-K-022-  -D5</t>
  </si>
  <si>
    <t>WHZP-CO-K-022-  -D5</t>
  </si>
  <si>
    <t>WHZP-BG-K-022-  -D5</t>
  </si>
  <si>
    <t>TWBO-CO-K-038-  -24</t>
  </si>
  <si>
    <t>TWBO-KE-K-038-  -24</t>
  </si>
  <si>
    <t>TWBO-ST-K-038-  -24</t>
  </si>
  <si>
    <t>TWBO-AD-K-072-  -11</t>
  </si>
  <si>
    <t>TWBO-AS-K-018-  -B6</t>
  </si>
  <si>
    <t>TWBO-MN-K-018-  -B6</t>
  </si>
  <si>
    <t>TWBO-PZ-K-018-  -B6</t>
  </si>
  <si>
    <t>TWBO-CO-K-018-  -B6</t>
  </si>
  <si>
    <t>TWBO-JM-K-018-  -B6</t>
  </si>
  <si>
    <t>TWBO-CO-K-030-  -66</t>
  </si>
  <si>
    <t>TWBO-ST-K-030-  -66</t>
  </si>
  <si>
    <t>TWBO-JM-K-030-  -66</t>
  </si>
  <si>
    <t>TWBO-AS-K-030-  -66</t>
  </si>
  <si>
    <t>TWBO-MN-K-030-  -66</t>
  </si>
  <si>
    <t>TWBO-KE-K-030-  -66</t>
  </si>
  <si>
    <t>TWBO-SU-K-030-  -66</t>
  </si>
  <si>
    <t>TWBO-PZ-K-030-  -66</t>
  </si>
  <si>
    <t>TWBO-SA-K-030-  -66</t>
  </si>
  <si>
    <t>TWBO-MB-K-030-  -66</t>
  </si>
  <si>
    <t>TWBO-AD-K-018-  -23</t>
  </si>
  <si>
    <t>BOOM-MT-K-012-  -99</t>
  </si>
  <si>
    <t>BOOM-MT-K-015-  -56</t>
  </si>
  <si>
    <t>BOOM-MT-K-090-  -29</t>
  </si>
  <si>
    <t>BOOM-SM-K-012-  -99</t>
  </si>
  <si>
    <t>BOOM-SM-K-015-  -56</t>
  </si>
  <si>
    <t>BOOM-SM-K-090-  -29</t>
  </si>
  <si>
    <t>BOOM-AD-K-012-  -I8</t>
  </si>
  <si>
    <t>FROZ-MT-K-040-  -B8</t>
  </si>
  <si>
    <t>FROZ-BM-K-040-  -B8</t>
  </si>
  <si>
    <t>FROZ-CH-K-040-  -B8</t>
  </si>
  <si>
    <t>FROZ-OR-K-040-  -B8</t>
  </si>
  <si>
    <t>FROZ-BE-K-040-  -B8</t>
  </si>
  <si>
    <t>FROZ-BR-K-040-  -B8</t>
  </si>
  <si>
    <t>FROZ-CI-K-040-  -B8</t>
  </si>
  <si>
    <t>FROZ-AG-K-040-  -B8</t>
  </si>
  <si>
    <t>FROZ-LN-K-040-  -B8</t>
  </si>
  <si>
    <t>FROZ-ST-K-040-  -B8</t>
  </si>
  <si>
    <t>FROZ-MI-K-040-  -B8</t>
  </si>
  <si>
    <t>HEXO-MT-K-005-  -C2</t>
  </si>
  <si>
    <t>HEXO-LM-K-005-  -C2</t>
  </si>
  <si>
    <t>HEXO-BM-K-005-  -C2</t>
  </si>
  <si>
    <t>HEXO-MT-K-020-  -29</t>
  </si>
  <si>
    <t>HEXO-MT-K-005-  -ST</t>
  </si>
  <si>
    <t>HEXO-MT-K-005-  -F3</t>
  </si>
  <si>
    <t>HEXO-MT-K-008-  -55</t>
  </si>
  <si>
    <t>HEXO-LM-K-008-  -55</t>
  </si>
  <si>
    <t>HEXO-CI-K-008-  -P1</t>
  </si>
  <si>
    <t>HEXO-LV-K-008-  -P1</t>
  </si>
  <si>
    <t>HEXO-AD-K-005-ST-F3</t>
  </si>
  <si>
    <t>HEXO-SS-K-005-  -43</t>
  </si>
  <si>
    <t>HEXO-SS-K-020-  -14</t>
  </si>
  <si>
    <t>HEXO-DM-K-005-  -C2</t>
  </si>
  <si>
    <t>HBUZ-MT-K-020-  -P1</t>
  </si>
  <si>
    <t>HEXO-HO-K-005-  -C2</t>
  </si>
  <si>
    <t>HEXC-MT-K-100-  -17</t>
  </si>
  <si>
    <t>HEXC-CH-K-100-  -17</t>
  </si>
  <si>
    <t>HEXO-MT-K-125-  -54</t>
  </si>
  <si>
    <t>NANO-KJ-K-005-  -43</t>
  </si>
  <si>
    <t>NANO-BL-K-005-  -43</t>
  </si>
  <si>
    <t>NANO-RN-K-005-  -43</t>
  </si>
  <si>
    <t>NANO-KJ-K-005-ST-43</t>
  </si>
  <si>
    <t>NASL-JN-K-130-  -07</t>
  </si>
  <si>
    <t>NASL-MG-K-130-  -07</t>
  </si>
  <si>
    <t>NASL-JR-K-130-  -07</t>
  </si>
  <si>
    <t>NASL-ST-K-130-  -07</t>
  </si>
  <si>
    <t>NASL-MT-K-130-  -07</t>
  </si>
  <si>
    <t>NMIL-CO-K-012-  -B9</t>
  </si>
  <si>
    <t>NMIL-ST-K-012-  -B9</t>
  </si>
  <si>
    <t>NMIL-VN-K-012-  -B9</t>
  </si>
  <si>
    <t>NASL-AD-K-130-GP-06</t>
  </si>
  <si>
    <t>NANO-AE-K-005-  -43</t>
  </si>
  <si>
    <t>NMIL-CZ-K-012-  -B9</t>
  </si>
  <si>
    <t>NMIL-TO-K-012-  -B9</t>
  </si>
  <si>
    <t>NANO-KJ-K-008-  -55</t>
  </si>
  <si>
    <t>NANO-SI-K-005-  -43</t>
  </si>
  <si>
    <t>NANO-GV-K-005-  -43</t>
  </si>
  <si>
    <t>NANO-GR-K-005-  -43</t>
  </si>
  <si>
    <t>NANO-DG-K-005-  -43</t>
  </si>
  <si>
    <t>NSFE-AD-K-060-  -06</t>
  </si>
  <si>
    <t>NNZU-CO-K-010-  -40</t>
  </si>
  <si>
    <t>NNZU-ST-K-010-  -40</t>
  </si>
  <si>
    <t>NANO-KJ-K-112-  -54</t>
  </si>
  <si>
    <t>NANO-AD-K-030-  -21</t>
  </si>
  <si>
    <t>SMAK-AY-K-020-MH-B6</t>
  </si>
  <si>
    <t>SMAK-SN-K-020-MH-B6</t>
  </si>
  <si>
    <t>ALOG-  -K-010-  -K1</t>
  </si>
  <si>
    <t>AVA1-  -K-010-  -L3</t>
  </si>
  <si>
    <t>AVA3-  -K-010-  -L3</t>
  </si>
  <si>
    <t>AVA2-  -K-010-  -L3</t>
  </si>
  <si>
    <t>AXIO-  -K-010-  -L3</t>
  </si>
  <si>
    <t>BIFI-  -K-001-  -O9</t>
  </si>
  <si>
    <t>BIOL-  -K-010-  -L5</t>
  </si>
  <si>
    <t>CALS-  -K-060-  -03</t>
  </si>
  <si>
    <t>CEBR-  -K-010-  -L3</t>
  </si>
  <si>
    <t>CLIK-  -K-010-  -L3</t>
  </si>
  <si>
    <t>CARN-  -K-005-  -M2</t>
  </si>
  <si>
    <t>CART-  -K-010-  -K1</t>
  </si>
  <si>
    <t>CYFL-  -K-006-  -L7</t>
  </si>
  <si>
    <t>CYLK-  -K-010-  -L7</t>
  </si>
  <si>
    <t>DESC-  -K-010-  -47</t>
  </si>
  <si>
    <t>DIPR-  -K-005-  -47</t>
  </si>
  <si>
    <t>DIUT-  -K-002-  -M2</t>
  </si>
  <si>
    <t>DITT-  -K-010-  -L6</t>
  </si>
  <si>
    <t>ESCO-  -K-006-  -M2</t>
  </si>
  <si>
    <t>ESCP-  -K-010-  -L6</t>
  </si>
  <si>
    <t>ESTE-  -K-006-  -M2</t>
  </si>
  <si>
    <t>ESCR-  -K-006-  -J6</t>
  </si>
  <si>
    <t>ELME-  -K-006-  -J6</t>
  </si>
  <si>
    <t>ENER-  -K-007-  -M2</t>
  </si>
  <si>
    <t>KONE-  -K-006-  -J6</t>
  </si>
  <si>
    <t>ESNO-  -K-006-  -M7</t>
  </si>
  <si>
    <t>ESCK-  -K-006-  -M2</t>
  </si>
  <si>
    <t>ESRO-  -K-006-  -J6</t>
  </si>
  <si>
    <t>FORL-  -K-006-  -M2</t>
  </si>
  <si>
    <t>QFOK-  -K-010-  -G7</t>
  </si>
  <si>
    <t>FORE-  -K-120-  -60</t>
  </si>
  <si>
    <t>FORI-  -K-120-  -60</t>
  </si>
  <si>
    <t>FRMS-  -K-006-  -J6</t>
  </si>
  <si>
    <t>FORK-  -K-006-  -J6</t>
  </si>
  <si>
    <t>GLIK-  -K-010-  -L3</t>
  </si>
  <si>
    <t>GLDT-  -K-010-  -L3</t>
  </si>
  <si>
    <t>GLES-  -K-060-  -03</t>
  </si>
  <si>
    <t>GLIT-  -K-010-  -G7</t>
  </si>
  <si>
    <t>GLUT-  -K-010-  -L3</t>
  </si>
  <si>
    <t>HELT-  -K-005-  -47</t>
  </si>
  <si>
    <t>KOBB-  -K-010-  -G7</t>
  </si>
  <si>
    <t>KCOT-  -K-010-  -L6</t>
  </si>
  <si>
    <t>KOCZ-  -K-006-  -J6</t>
  </si>
  <si>
    <t>KFLT-  -K-010-  -G7</t>
  </si>
  <si>
    <t>KALI-  -K-030-  -60</t>
  </si>
  <si>
    <t>KNBL-  -K-010-  -L6</t>
  </si>
  <si>
    <t>KODC-  -K-010-  -47</t>
  </si>
  <si>
    <t>XKON-  -K-005-  -56</t>
  </si>
  <si>
    <t>XKON-  -K-506-  -M2</t>
  </si>
  <si>
    <t>KNMS-  -K-007-  -K6</t>
  </si>
  <si>
    <t>KNFT-  -K-100-  -21</t>
  </si>
  <si>
    <t>KPT1-  -K-010-  -L3</t>
  </si>
  <si>
    <t>KPT2-  -K-010-  -L3</t>
  </si>
  <si>
    <t>KNXO-  -K-010-  -G7</t>
  </si>
  <si>
    <t>KOGC-  -K-010-  -03</t>
  </si>
  <si>
    <t>KQIN-  -K-010-  -L3</t>
  </si>
  <si>
    <t>KURK-  -K-060-  -03</t>
  </si>
  <si>
    <t>KURP-  -K-010-  -K1</t>
  </si>
  <si>
    <t>LINE-  -K-002-  -M2</t>
  </si>
  <si>
    <t>MADT-  -K-012-  -K1</t>
  </si>
  <si>
    <t>MATR-  -K-010-  -03</t>
  </si>
  <si>
    <t>MATT-  -K-010-  -L6</t>
  </si>
  <si>
    <t>MEDI-  -K-006-  -J6</t>
  </si>
  <si>
    <t>MOTC-  -K-010-  -47</t>
  </si>
  <si>
    <t>NASF-  -K-010-  -K1</t>
  </si>
  <si>
    <t>NAUS-  -K-006-  -L7</t>
  </si>
  <si>
    <t>NAUI-  -K-002-  -M2</t>
  </si>
  <si>
    <t>NEFR-  -K-005-  -J6</t>
  </si>
  <si>
    <t>NOTT-  -K-010-  -L3</t>
  </si>
  <si>
    <t>XOXO-  -K-005-  -56</t>
  </si>
  <si>
    <t>OSVI-  -K-006-  -J6</t>
  </si>
  <si>
    <t>OPTM-  -K-006-  -M7</t>
  </si>
  <si>
    <t>PETT-  -K-010-  -L3</t>
  </si>
  <si>
    <t>REXA-  -K-010-  -L3</t>
  </si>
  <si>
    <t>SIRT-  -K-010-  -M5</t>
  </si>
  <si>
    <t>SISK-  -K-010-  -J6</t>
  </si>
  <si>
    <t>SORT-  -K-010-  -L6</t>
  </si>
  <si>
    <t>SPAT-  -K-010-  -L6</t>
  </si>
  <si>
    <t>SPAP-  -K-010-  -K1</t>
  </si>
  <si>
    <t>STAT-  -K-010-  -L6</t>
  </si>
  <si>
    <t>SUCR-  -K-100-  -25</t>
  </si>
  <si>
    <t>TENT-  -K-010-  -L3</t>
  </si>
  <si>
    <t>XTRI-  -K-506-  -M2</t>
  </si>
  <si>
    <t>PBAL-CO-K-019-MH-B6</t>
  </si>
  <si>
    <t>PBAL-ID-K-018-MH-B6</t>
  </si>
  <si>
    <t>GASK-  -K-006-  -M2</t>
  </si>
  <si>
    <t>KD50-  -K-006-  -M2</t>
  </si>
  <si>
    <t>SMAK-KB-K-020-MH-B6</t>
  </si>
  <si>
    <t>EVES-  -K-006-  -O8</t>
  </si>
  <si>
    <t>KHEM-  -K-006-  -79</t>
  </si>
  <si>
    <t>Product_code</t>
  </si>
  <si>
    <t>Product_name</t>
  </si>
  <si>
    <t>Harga Dasar</t>
  </si>
  <si>
    <t>KATEGORI</t>
  </si>
  <si>
    <t>KAT A</t>
  </si>
  <si>
    <t>KAT B</t>
  </si>
  <si>
    <t>KAT D</t>
  </si>
  <si>
    <t>KAT C</t>
  </si>
  <si>
    <t>KAT E</t>
  </si>
  <si>
    <t>Keterangan produk</t>
  </si>
  <si>
    <t>Produk Baru</t>
  </si>
  <si>
    <t>Festive</t>
  </si>
  <si>
    <t>Batch Yield</t>
  </si>
  <si>
    <t>Product_code_lama</t>
  </si>
  <si>
    <t>KON001</t>
  </si>
  <si>
    <t>FRE034</t>
  </si>
  <si>
    <t>KBK007</t>
  </si>
  <si>
    <t>KCQ002</t>
  </si>
  <si>
    <t>KDG001</t>
  </si>
  <si>
    <t>KEN001</t>
  </si>
  <si>
    <t>KFE001</t>
  </si>
  <si>
    <t>KFO001</t>
  </si>
  <si>
    <t>KLA001</t>
  </si>
  <si>
    <t>KLD003</t>
  </si>
  <si>
    <t>KLI001</t>
  </si>
  <si>
    <t>KNM001</t>
  </si>
  <si>
    <t>KPR001</t>
  </si>
  <si>
    <t>KRE001</t>
  </si>
  <si>
    <t>KRL001</t>
  </si>
  <si>
    <t>KSL001</t>
  </si>
  <si>
    <t>KTM001</t>
  </si>
  <si>
    <t>KUH001</t>
  </si>
  <si>
    <t>KVI003</t>
  </si>
  <si>
    <t>PRO004</t>
  </si>
  <si>
    <t>PRO008</t>
  </si>
  <si>
    <t>PRO010</t>
  </si>
  <si>
    <t>PRO012</t>
  </si>
  <si>
    <t>PRO013</t>
  </si>
  <si>
    <t>BKR009</t>
  </si>
  <si>
    <t>BRZ014</t>
  </si>
  <si>
    <t>BRZ015</t>
  </si>
  <si>
    <t>BRZ016</t>
  </si>
  <si>
    <t>DIF001</t>
  </si>
  <si>
    <t>DIF004</t>
  </si>
  <si>
    <t>GGT050</t>
  </si>
  <si>
    <t>GGT051</t>
  </si>
  <si>
    <t>GGT013</t>
  </si>
  <si>
    <t>GGT001</t>
  </si>
  <si>
    <t>HTB001</t>
  </si>
  <si>
    <t>TWB124</t>
  </si>
  <si>
    <t>TWB063</t>
  </si>
  <si>
    <t>DIU002</t>
  </si>
  <si>
    <t>Line Produksi</t>
  </si>
  <si>
    <t>FM 2</t>
  </si>
  <si>
    <t>FM 1B</t>
  </si>
  <si>
    <t>NATPRO</t>
  </si>
  <si>
    <t>FD1</t>
  </si>
  <si>
    <t>OM/ CSAS</t>
  </si>
  <si>
    <t>DIAGNOSTIK</t>
  </si>
  <si>
    <t>FM 1A</t>
  </si>
  <si>
    <t xml:space="preserve">OM/ NEOPANGAN </t>
  </si>
  <si>
    <t>FD2</t>
  </si>
  <si>
    <t xml:space="preserve">OM/ UKR </t>
  </si>
  <si>
    <t xml:space="preserve">OM/ MANOHARA </t>
  </si>
  <si>
    <t xml:space="preserve">OM/ IPHA </t>
  </si>
  <si>
    <t>INDOCARE</t>
  </si>
  <si>
    <t xml:space="preserve">OM/ OTTO </t>
  </si>
  <si>
    <t>Principal_product_code_lama</t>
  </si>
  <si>
    <t>KOND-  -K-004-  -A4</t>
  </si>
  <si>
    <t>FRSR-  -K-013-  -40</t>
  </si>
  <si>
    <t>KBBK-01-K-080-  -60</t>
  </si>
  <si>
    <t>COQ1-  -K-030-  -60</t>
  </si>
  <si>
    <t>KDIC-  -K-007-  -O8</t>
  </si>
  <si>
    <t>KENZ-  -K-030-  -60</t>
  </si>
  <si>
    <t>KFER-  -K-030-  -60</t>
  </si>
  <si>
    <t>FOCS-  -K-030-  -60</t>
  </si>
  <si>
    <t>KLAK-  -K-030-  -60</t>
  </si>
  <si>
    <t>KD34-  -K-030-  -60</t>
  </si>
  <si>
    <t>LIVG-  -K-030-  -60</t>
  </si>
  <si>
    <t>KNOM-  -K-030-  -60</t>
  </si>
  <si>
    <t>PRMT-  -K-030-  -60</t>
  </si>
  <si>
    <t>REDX-  -K-030-  -60</t>
  </si>
  <si>
    <t>KRIL-  -K-030-  -60</t>
  </si>
  <si>
    <t>KSLI-  -K-030-  -60</t>
  </si>
  <si>
    <t>KOPT-  -K-030-  -60</t>
  </si>
  <si>
    <t>KURI-  -K-030-  -60</t>
  </si>
  <si>
    <t>KVPR-  -K-030-  -60</t>
  </si>
  <si>
    <t>PROD-  -K-010-  -56</t>
  </si>
  <si>
    <t>PROS-  -K-010-  -56</t>
  </si>
  <si>
    <t>PROO-  -K-010-  -56</t>
  </si>
  <si>
    <t>PROS-  -B-001-  -F5</t>
  </si>
  <si>
    <t>PROD-  -B-001-  -F5</t>
  </si>
  <si>
    <t>DACH-AB-K-026-NP-Q6</t>
  </si>
  <si>
    <t>BRGL-BT-K-040-  -P3</t>
  </si>
  <si>
    <t>BRGL-CO-K-040-  -P3</t>
  </si>
  <si>
    <t>BRGL-SU-K-040-  -P3</t>
  </si>
  <si>
    <t>DFWF-CO-K-180-  -06</t>
  </si>
  <si>
    <t>DFWF-CO-K-018-  -P9</t>
  </si>
  <si>
    <t>HOTA-UM-K-008-NP-Q6</t>
  </si>
  <si>
    <t>TWBO-ST-K-018-  -P3</t>
  </si>
  <si>
    <t>TWBO-ST-K-020-  -66</t>
  </si>
  <si>
    <t>DIUT-  -K-002-  -M2B</t>
  </si>
  <si>
    <t>GGWF-CO-K-018-60-P3</t>
  </si>
  <si>
    <t>GGWF-KE-K-018-60-P3</t>
  </si>
  <si>
    <t>GGWF-CO-K-042-60-B6</t>
  </si>
  <si>
    <t>GGWF-KE-K-042-60-B6</t>
  </si>
  <si>
    <t>Aktif</t>
  </si>
  <si>
    <t>Streamline</t>
  </si>
  <si>
    <t>KOM003</t>
  </si>
  <si>
    <t>OMG3-  -K-030-  -97</t>
  </si>
  <si>
    <t>SMT023</t>
  </si>
  <si>
    <t>SMT024</t>
  </si>
  <si>
    <t>SMT025</t>
  </si>
  <si>
    <t>SMAK-AY-K-017-MH-B6</t>
  </si>
  <si>
    <t>SMAK-SN-K-017-MH-B6</t>
  </si>
  <si>
    <t>SMAK-KB-K-017-MH-B6</t>
  </si>
  <si>
    <t>KCH002</t>
  </si>
  <si>
    <t>CHLO-  -K-030-  -97</t>
  </si>
  <si>
    <t>O369-  -K-030-  -97</t>
  </si>
  <si>
    <t>KOM004</t>
  </si>
  <si>
    <t>KONILIFE O369 30 (ISI 24 BTL)</t>
  </si>
  <si>
    <t>KONILIFE CHLOROFIT (ISI 24 BTL)</t>
  </si>
  <si>
    <t>BRZ056</t>
  </si>
  <si>
    <t>BRINGZ LUMIER ASSORTED 225G</t>
  </si>
  <si>
    <t>BRGL-AD-K-225-  -28</t>
  </si>
  <si>
    <t>CHL046</t>
  </si>
  <si>
    <t>CHL047</t>
  </si>
  <si>
    <t>CHOCOLITO ORIGINAL 25 G</t>
  </si>
  <si>
    <t>CHOCOLITO RICH CHOCO 25 G</t>
  </si>
  <si>
    <t>CHLT-  -K-025-  -B6</t>
  </si>
  <si>
    <t>CHLT-RC-K-025-  -B6</t>
  </si>
  <si>
    <t>TWB184</t>
  </si>
  <si>
    <t>TWB181</t>
  </si>
  <si>
    <t>TWB182</t>
  </si>
  <si>
    <t>TWB183</t>
  </si>
  <si>
    <t>TINI WINI BITI ASIN 16 G(ISI 80)</t>
  </si>
  <si>
    <t>TINI WINI BITI COKLAT 16 G(ISI 80)</t>
  </si>
  <si>
    <t>TINI WINI BITI STROBERI 16 G(ISI 80)</t>
  </si>
  <si>
    <t>TINI WINI BITI JAGUNG MANIS 16G(ISI 80)</t>
  </si>
  <si>
    <t>TWBO-CO-K-016-  -C7</t>
  </si>
  <si>
    <t>TWBO-ST-K-016-  -C7</t>
  </si>
  <si>
    <t>TWBO-JM-K-016-  -C7</t>
  </si>
  <si>
    <t>TWBO-AS-K-016-  -C7</t>
  </si>
  <si>
    <t>FREZZA SPRAY REGULAR NEW (DUS)</t>
  </si>
  <si>
    <t>TALITA MINYAK TELON PLUS LAVENDER 30 ML</t>
  </si>
  <si>
    <t>TALITA MINYAK TELON PLUS LAVENDER 60 ML</t>
  </si>
  <si>
    <t>TALITA MINYAK TELON PLUS LAVENDER 125 ML</t>
  </si>
  <si>
    <t>EVER E CALMIA SOFT CAPSULE STRIP /12</t>
  </si>
  <si>
    <t>KONILIFE CO Q 10 SOFTCAPS (ISI 24 BTL)</t>
  </si>
  <si>
    <t>KONILIFE OMEGA 3 (ISI 24)</t>
  </si>
  <si>
    <t>KONILIFE REDAXIN (ISI 24 BTL)</t>
  </si>
  <si>
    <t>PROTECAL DEFENSE TUBE (ISI 24)</t>
  </si>
  <si>
    <t>PROTECAL SOLID TUBE (ISI 24)</t>
  </si>
  <si>
    <t>PROTECAL OSTEO TUBE (ISI 24)</t>
  </si>
  <si>
    <t>PROTECAL SOLID STRIP (ISI 24 BOX)</t>
  </si>
  <si>
    <t>PROTECAL DEFENSE STRIP (ISI 24 BOX)</t>
  </si>
  <si>
    <t>BRAITO TEARS/DRY EYES 5 ML</t>
  </si>
  <si>
    <t>PARAMEX SK / AKTIF KAPLET 6</t>
  </si>
  <si>
    <t>PARAMEX NYERI OTOT CREAM 60 G</t>
  </si>
  <si>
    <t>PARAMEX NYERI OTOT CREAM 30 G</t>
  </si>
  <si>
    <t>SILADEX COUGH &amp; FLU 60 ML</t>
  </si>
  <si>
    <t>DAPURASA BUMBU AYAM GORENG GURIH (NEW)</t>
  </si>
  <si>
    <t>CHOCOLITO LEZ OLEZ DOUBLE CHOCO 23G</t>
  </si>
  <si>
    <t>CHOCOLITO LEZ OLEZ STROBERI 23G</t>
  </si>
  <si>
    <t>HEXOS ASSORTED STOPLES /25</t>
  </si>
  <si>
    <t>MR.SARMENTO MAKARENA AYAM BARA 17 G</t>
  </si>
  <si>
    <t>MR.SARMENTO MAKARENA SAMBAL LIMO 17 G</t>
  </si>
  <si>
    <t>MR.SARMENTO MAKARENA KOREAN SPICY 17 G</t>
  </si>
  <si>
    <t>Max Doi MNJ</t>
  </si>
  <si>
    <t>Max Doi KX</t>
  </si>
  <si>
    <t>Max DOI konsolidasi</t>
  </si>
  <si>
    <t>OMG3-  -K-030-  -60</t>
  </si>
  <si>
    <t>CHLT-  -K-030-  -40</t>
  </si>
  <si>
    <t>CHLT-RC-K-030-  -40</t>
  </si>
  <si>
    <t>CHL049</t>
  </si>
  <si>
    <t>CHLT-RC-K-130- -06</t>
  </si>
  <si>
    <t>KLD005</t>
  </si>
  <si>
    <t>KONILIFE D1000 TABLET ISI 30(NEW 48 DOS)</t>
  </si>
  <si>
    <t>KD10-  -K-010-  -A6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</si>
</sst>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ED65-C79C-467A-AFD9-79C337433C1F}">
  <dimension ref="A1:P420"/>
  <sheetViews>
    <sheetView tabSelected="1" zoomScale="90" zoomScaleNormal="90" workbookViewId="0">
      <pane xSplit="5" ySplit="1" topLeftCell="I29" activePane="bottomRight" state="frozen"/>
      <selection pane="topRight" activeCell="F1" sqref="F1"/>
      <selection pane="bottomLeft" activeCell="A2" sqref="A2"/>
      <selection pane="bottomRight" activeCell="K29" sqref="K29"/>
    </sheetView>
  </sheetViews>
  <sheetFormatPr defaultRowHeight="14.4" x14ac:dyDescent="0.3"/>
  <cols>
    <col min="1" max="1" width="20.44140625" bestFit="1" customWidth="1"/>
    <col min="2" max="2" width="27.88671875" bestFit="1" customWidth="1"/>
    <col min="3" max="3" width="12.33203125" bestFit="1" customWidth="1"/>
    <col min="4" max="4" width="19.77734375" customWidth="1"/>
    <col min="5" max="5" width="58.88671875" bestFit="1" customWidth="1"/>
    <col min="6" max="6" width="5.77734375" bestFit="1" customWidth="1"/>
    <col min="9" max="9" width="18.6640625" bestFit="1" customWidth="1"/>
    <col min="10" max="10" width="10" bestFit="1" customWidth="1"/>
    <col min="12" max="12" width="13.6640625" bestFit="1" customWidth="1"/>
    <col min="13" max="13" width="13.6640625" customWidth="1"/>
    <col min="14" max="14" width="11" bestFit="1" customWidth="1"/>
  </cols>
  <sheetData>
    <row r="1" spans="1:16" x14ac:dyDescent="0.3">
      <c r="A1" t="s">
        <v>810</v>
      </c>
      <c r="B1" t="s">
        <v>1293</v>
      </c>
      <c r="C1" t="s">
        <v>1226</v>
      </c>
      <c r="D1" t="s">
        <v>1239</v>
      </c>
      <c r="E1" t="s">
        <v>1227</v>
      </c>
      <c r="F1" t="s">
        <v>0</v>
      </c>
      <c r="G1" t="s">
        <v>1228</v>
      </c>
      <c r="H1" t="s">
        <v>1229</v>
      </c>
      <c r="I1" t="s">
        <v>1235</v>
      </c>
      <c r="J1" t="s">
        <v>1238</v>
      </c>
      <c r="K1" t="s">
        <v>1278</v>
      </c>
      <c r="L1" t="s">
        <v>1394</v>
      </c>
      <c r="M1" t="s">
        <v>1395</v>
      </c>
      <c r="N1" t="s">
        <v>1396</v>
      </c>
    </row>
    <row r="2" spans="1:16" x14ac:dyDescent="0.3">
      <c r="A2" t="s">
        <v>811</v>
      </c>
      <c r="B2" t="s">
        <v>811</v>
      </c>
      <c r="C2" t="s">
        <v>1</v>
      </c>
      <c r="D2" t="s">
        <v>1</v>
      </c>
      <c r="E2" t="s">
        <v>2</v>
      </c>
      <c r="F2" t="s">
        <v>3</v>
      </c>
      <c r="G2">
        <v>5458.65</v>
      </c>
      <c r="H2" t="s">
        <v>1230</v>
      </c>
      <c r="I2" t="s">
        <v>1332</v>
      </c>
      <c r="J2">
        <v>19991</v>
      </c>
      <c r="K2" t="s">
        <v>1279</v>
      </c>
      <c r="L2" s="1">
        <v>45</v>
      </c>
      <c r="M2" s="1">
        <f>N2-L2</f>
        <v>22</v>
      </c>
      <c r="N2" s="1">
        <v>67</v>
      </c>
      <c r="P2" s="2"/>
    </row>
    <row r="3" spans="1:16" x14ac:dyDescent="0.3">
      <c r="A3" t="s">
        <v>812</v>
      </c>
      <c r="B3" t="s">
        <v>812</v>
      </c>
      <c r="C3" t="s">
        <v>4</v>
      </c>
      <c r="D3" t="s">
        <v>4</v>
      </c>
      <c r="E3" t="s">
        <v>5</v>
      </c>
      <c r="F3" t="s">
        <v>3</v>
      </c>
      <c r="G3">
        <v>10878.79</v>
      </c>
      <c r="H3" t="s">
        <v>1230</v>
      </c>
      <c r="I3" t="s">
        <v>1332</v>
      </c>
      <c r="J3">
        <v>16662</v>
      </c>
      <c r="K3" t="s">
        <v>1279</v>
      </c>
      <c r="L3" s="1">
        <v>45</v>
      </c>
      <c r="M3" s="1">
        <f t="shared" ref="M3:M28" si="0">N3-L3</f>
        <v>15</v>
      </c>
      <c r="N3" s="1">
        <v>60</v>
      </c>
    </row>
    <row r="4" spans="1:16" x14ac:dyDescent="0.3">
      <c r="A4" t="s">
        <v>813</v>
      </c>
      <c r="B4" t="s">
        <v>813</v>
      </c>
      <c r="C4" t="s">
        <v>6</v>
      </c>
      <c r="D4" t="s">
        <v>6</v>
      </c>
      <c r="E4" t="s">
        <v>7</v>
      </c>
      <c r="F4" t="s">
        <v>3</v>
      </c>
      <c r="G4">
        <v>6177.6</v>
      </c>
      <c r="H4" t="s">
        <v>1230</v>
      </c>
      <c r="I4" t="s">
        <v>1332</v>
      </c>
      <c r="J4">
        <v>19325</v>
      </c>
      <c r="K4" t="s">
        <v>1279</v>
      </c>
      <c r="L4" s="1">
        <v>45</v>
      </c>
      <c r="M4" s="1">
        <f t="shared" si="0"/>
        <v>17</v>
      </c>
      <c r="N4" s="1">
        <v>62</v>
      </c>
    </row>
    <row r="5" spans="1:16" x14ac:dyDescent="0.3">
      <c r="A5" t="s">
        <v>814</v>
      </c>
      <c r="B5" t="s">
        <v>814</v>
      </c>
      <c r="C5" t="s">
        <v>8</v>
      </c>
      <c r="D5" t="s">
        <v>8</v>
      </c>
      <c r="E5" t="s">
        <v>9</v>
      </c>
      <c r="F5" t="s">
        <v>3</v>
      </c>
      <c r="G5">
        <v>10117.799999999999</v>
      </c>
      <c r="H5" t="s">
        <v>1230</v>
      </c>
      <c r="I5" t="s">
        <v>1332</v>
      </c>
      <c r="J5">
        <v>16024</v>
      </c>
      <c r="K5" t="s">
        <v>1279</v>
      </c>
      <c r="L5" s="1">
        <v>45</v>
      </c>
      <c r="M5" s="1">
        <f t="shared" si="0"/>
        <v>17</v>
      </c>
      <c r="N5" s="1">
        <v>62</v>
      </c>
    </row>
    <row r="6" spans="1:16" x14ac:dyDescent="0.3">
      <c r="A6" t="s">
        <v>815</v>
      </c>
      <c r="B6" t="s">
        <v>815</v>
      </c>
      <c r="C6" t="s">
        <v>10</v>
      </c>
      <c r="D6" t="s">
        <v>10</v>
      </c>
      <c r="E6" t="s">
        <v>11</v>
      </c>
      <c r="F6" t="s">
        <v>3</v>
      </c>
      <c r="G6">
        <v>1704.02</v>
      </c>
      <c r="H6" t="s">
        <v>1231</v>
      </c>
      <c r="I6" t="s">
        <v>1332</v>
      </c>
      <c r="J6">
        <v>85750</v>
      </c>
      <c r="K6" t="s">
        <v>1280</v>
      </c>
      <c r="L6" s="1">
        <v>45</v>
      </c>
      <c r="M6" s="1">
        <f t="shared" si="0"/>
        <v>21</v>
      </c>
      <c r="N6" s="1">
        <v>66</v>
      </c>
    </row>
    <row r="7" spans="1:16" x14ac:dyDescent="0.3">
      <c r="A7" t="s">
        <v>816</v>
      </c>
      <c r="B7" t="s">
        <v>816</v>
      </c>
      <c r="C7" t="s">
        <v>12</v>
      </c>
      <c r="D7" t="s">
        <v>12</v>
      </c>
      <c r="E7" t="s">
        <v>13</v>
      </c>
      <c r="F7" t="s">
        <v>3</v>
      </c>
      <c r="G7">
        <v>2310.54</v>
      </c>
      <c r="H7" t="s">
        <v>1231</v>
      </c>
      <c r="I7" t="s">
        <v>1332</v>
      </c>
      <c r="J7">
        <v>50000</v>
      </c>
      <c r="K7" t="s">
        <v>1280</v>
      </c>
      <c r="L7" s="1">
        <v>45</v>
      </c>
      <c r="M7" s="1">
        <f t="shared" si="0"/>
        <v>15</v>
      </c>
      <c r="N7" s="1">
        <v>60</v>
      </c>
    </row>
    <row r="8" spans="1:16" x14ac:dyDescent="0.3">
      <c r="A8" t="s">
        <v>817</v>
      </c>
      <c r="B8" t="s">
        <v>817</v>
      </c>
      <c r="C8" t="s">
        <v>14</v>
      </c>
      <c r="D8" t="s">
        <v>14</v>
      </c>
      <c r="E8" t="s">
        <v>15</v>
      </c>
      <c r="F8" t="s">
        <v>3</v>
      </c>
      <c r="G8">
        <v>6237</v>
      </c>
      <c r="H8" t="s">
        <v>1231</v>
      </c>
      <c r="I8" t="s">
        <v>1332</v>
      </c>
      <c r="J8">
        <v>5500</v>
      </c>
      <c r="K8" t="s">
        <v>1281</v>
      </c>
      <c r="L8" s="1">
        <v>45</v>
      </c>
      <c r="M8" s="1">
        <f t="shared" si="0"/>
        <v>24</v>
      </c>
      <c r="N8" s="1">
        <v>69</v>
      </c>
    </row>
    <row r="9" spans="1:16" x14ac:dyDescent="0.3">
      <c r="A9" t="s">
        <v>818</v>
      </c>
      <c r="B9" t="s">
        <v>818</v>
      </c>
      <c r="C9" t="s">
        <v>16</v>
      </c>
      <c r="D9" t="s">
        <v>16</v>
      </c>
      <c r="E9" t="s">
        <v>17</v>
      </c>
      <c r="F9" t="s">
        <v>3</v>
      </c>
      <c r="G9">
        <v>1881</v>
      </c>
      <c r="H9" t="s">
        <v>1231</v>
      </c>
      <c r="I9" t="s">
        <v>1332</v>
      </c>
      <c r="J9">
        <v>13333</v>
      </c>
      <c r="K9" t="s">
        <v>1281</v>
      </c>
      <c r="L9" s="1">
        <v>45</v>
      </c>
      <c r="M9" s="1">
        <f t="shared" si="0"/>
        <v>15</v>
      </c>
      <c r="N9" s="1">
        <v>60</v>
      </c>
    </row>
    <row r="10" spans="1:16" x14ac:dyDescent="0.3">
      <c r="A10" t="s">
        <v>819</v>
      </c>
      <c r="B10" t="s">
        <v>819</v>
      </c>
      <c r="C10" t="s">
        <v>18</v>
      </c>
      <c r="D10" t="s">
        <v>18</v>
      </c>
      <c r="E10" t="s">
        <v>19</v>
      </c>
      <c r="F10" t="s">
        <v>3</v>
      </c>
      <c r="G10">
        <v>1881</v>
      </c>
      <c r="H10" t="s">
        <v>1231</v>
      </c>
      <c r="I10" t="s">
        <v>1332</v>
      </c>
      <c r="J10">
        <v>13333</v>
      </c>
      <c r="K10" t="s">
        <v>1281</v>
      </c>
      <c r="L10" s="1">
        <v>45</v>
      </c>
      <c r="M10" s="1">
        <f t="shared" si="0"/>
        <v>15</v>
      </c>
      <c r="N10" s="1">
        <v>60</v>
      </c>
    </row>
    <row r="11" spans="1:16" x14ac:dyDescent="0.3">
      <c r="A11" t="s">
        <v>820</v>
      </c>
      <c r="B11" t="s">
        <v>820</v>
      </c>
      <c r="C11" t="s">
        <v>20</v>
      </c>
      <c r="D11" t="s">
        <v>20</v>
      </c>
      <c r="E11" t="s">
        <v>21</v>
      </c>
      <c r="F11" t="s">
        <v>3</v>
      </c>
      <c r="G11">
        <v>1815.39</v>
      </c>
      <c r="H11" t="s">
        <v>1230</v>
      </c>
      <c r="I11" t="s">
        <v>1332</v>
      </c>
      <c r="J11">
        <v>39734</v>
      </c>
      <c r="K11" t="s">
        <v>1280</v>
      </c>
      <c r="L11" s="1">
        <v>45</v>
      </c>
      <c r="M11" s="1">
        <f t="shared" si="0"/>
        <v>23</v>
      </c>
      <c r="N11" s="1">
        <v>68</v>
      </c>
    </row>
    <row r="12" spans="1:16" x14ac:dyDescent="0.3">
      <c r="A12" t="s">
        <v>821</v>
      </c>
      <c r="B12" t="s">
        <v>821</v>
      </c>
      <c r="C12" t="s">
        <v>22</v>
      </c>
      <c r="D12" t="s">
        <v>22</v>
      </c>
      <c r="E12" t="s">
        <v>23</v>
      </c>
      <c r="F12" t="s">
        <v>3</v>
      </c>
      <c r="G12">
        <v>2383</v>
      </c>
      <c r="H12" t="s">
        <v>1232</v>
      </c>
      <c r="I12" t="s">
        <v>1236</v>
      </c>
      <c r="J12">
        <v>14654</v>
      </c>
      <c r="K12" t="s">
        <v>1280</v>
      </c>
      <c r="L12" s="1">
        <v>45</v>
      </c>
      <c r="M12" s="1">
        <f t="shared" si="0"/>
        <v>15</v>
      </c>
      <c r="N12" s="1">
        <v>60</v>
      </c>
    </row>
    <row r="13" spans="1:16" x14ac:dyDescent="0.3">
      <c r="A13" t="s">
        <v>822</v>
      </c>
      <c r="B13" t="s">
        <v>822</v>
      </c>
      <c r="C13" t="s">
        <v>24</v>
      </c>
      <c r="D13" t="s">
        <v>24</v>
      </c>
      <c r="E13" t="s">
        <v>25</v>
      </c>
      <c r="F13" t="s">
        <v>3</v>
      </c>
      <c r="G13">
        <v>2178</v>
      </c>
      <c r="H13" t="s">
        <v>1231</v>
      </c>
      <c r="I13" t="s">
        <v>1332</v>
      </c>
      <c r="J13">
        <v>2306</v>
      </c>
      <c r="K13" t="s">
        <v>1282</v>
      </c>
      <c r="L13" s="1">
        <v>45</v>
      </c>
      <c r="M13" s="1">
        <f t="shared" si="0"/>
        <v>15</v>
      </c>
      <c r="N13" s="1">
        <v>60</v>
      </c>
    </row>
    <row r="14" spans="1:16" x14ac:dyDescent="0.3">
      <c r="A14" t="s">
        <v>823</v>
      </c>
      <c r="B14" t="s">
        <v>823</v>
      </c>
      <c r="C14" t="s">
        <v>26</v>
      </c>
      <c r="D14" t="s">
        <v>26</v>
      </c>
      <c r="E14" t="s">
        <v>27</v>
      </c>
      <c r="F14" t="s">
        <v>3</v>
      </c>
      <c r="G14">
        <v>2178</v>
      </c>
      <c r="H14" t="s">
        <v>1231</v>
      </c>
      <c r="I14" t="s">
        <v>1332</v>
      </c>
      <c r="J14">
        <v>2298</v>
      </c>
      <c r="K14" t="s">
        <v>1282</v>
      </c>
      <c r="L14" s="1">
        <v>45</v>
      </c>
      <c r="M14" s="1">
        <f t="shared" si="0"/>
        <v>15</v>
      </c>
      <c r="N14" s="1">
        <v>60</v>
      </c>
    </row>
    <row r="15" spans="1:16" x14ac:dyDescent="0.3">
      <c r="A15" t="s">
        <v>824</v>
      </c>
      <c r="B15" t="s">
        <v>824</v>
      </c>
      <c r="C15" t="s">
        <v>28</v>
      </c>
      <c r="D15" t="s">
        <v>28</v>
      </c>
      <c r="E15" t="s">
        <v>29</v>
      </c>
      <c r="F15" t="s">
        <v>3</v>
      </c>
      <c r="G15">
        <v>2178</v>
      </c>
      <c r="H15" t="s">
        <v>1231</v>
      </c>
      <c r="I15" t="s">
        <v>1332</v>
      </c>
      <c r="J15">
        <v>2285</v>
      </c>
      <c r="K15" t="s">
        <v>1282</v>
      </c>
      <c r="L15" s="1">
        <v>45</v>
      </c>
      <c r="M15" s="1">
        <f t="shared" si="0"/>
        <v>15</v>
      </c>
      <c r="N15" s="1">
        <v>60</v>
      </c>
    </row>
    <row r="16" spans="1:16" x14ac:dyDescent="0.3">
      <c r="A16" t="s">
        <v>825</v>
      </c>
      <c r="B16" t="s">
        <v>825</v>
      </c>
      <c r="C16" t="s">
        <v>30</v>
      </c>
      <c r="D16" t="s">
        <v>30</v>
      </c>
      <c r="E16" t="s">
        <v>31</v>
      </c>
      <c r="F16" t="s">
        <v>3</v>
      </c>
      <c r="G16">
        <v>613.79999999999995</v>
      </c>
      <c r="H16" t="s">
        <v>1231</v>
      </c>
      <c r="I16" t="s">
        <v>1332</v>
      </c>
      <c r="J16">
        <v>26080</v>
      </c>
      <c r="K16" t="s">
        <v>1279</v>
      </c>
      <c r="L16" s="1">
        <v>45</v>
      </c>
      <c r="M16" s="1">
        <f t="shared" si="0"/>
        <v>15</v>
      </c>
      <c r="N16" s="1">
        <v>60</v>
      </c>
    </row>
    <row r="17" spans="1:14" x14ac:dyDescent="0.3">
      <c r="A17" t="s">
        <v>826</v>
      </c>
      <c r="B17" t="s">
        <v>1294</v>
      </c>
      <c r="C17" t="s">
        <v>32</v>
      </c>
      <c r="D17" t="s">
        <v>1240</v>
      </c>
      <c r="E17" t="s">
        <v>33</v>
      </c>
      <c r="F17" t="s">
        <v>3</v>
      </c>
      <c r="G17">
        <v>1961.07</v>
      </c>
      <c r="H17" t="s">
        <v>1230</v>
      </c>
      <c r="I17" t="s">
        <v>1332</v>
      </c>
      <c r="J17">
        <v>98808</v>
      </c>
      <c r="K17" t="s">
        <v>1280</v>
      </c>
      <c r="L17" s="1">
        <v>45</v>
      </c>
      <c r="M17" s="1">
        <f t="shared" si="0"/>
        <v>15</v>
      </c>
      <c r="N17" s="1">
        <v>60</v>
      </c>
    </row>
    <row r="18" spans="1:14" x14ac:dyDescent="0.3">
      <c r="A18" t="s">
        <v>827</v>
      </c>
      <c r="B18" t="s">
        <v>827</v>
      </c>
      <c r="C18" t="s">
        <v>34</v>
      </c>
      <c r="D18" t="s">
        <v>34</v>
      </c>
      <c r="E18" t="s">
        <v>35</v>
      </c>
      <c r="F18" t="s">
        <v>3</v>
      </c>
      <c r="G18">
        <v>11177.1</v>
      </c>
      <c r="H18" t="s">
        <v>1231</v>
      </c>
      <c r="I18" t="s">
        <v>1332</v>
      </c>
      <c r="J18">
        <v>12593</v>
      </c>
      <c r="K18" t="s">
        <v>1279</v>
      </c>
      <c r="L18" s="1">
        <v>45</v>
      </c>
      <c r="M18" s="1">
        <f t="shared" si="0"/>
        <v>30</v>
      </c>
      <c r="N18" s="1">
        <v>75</v>
      </c>
    </row>
    <row r="19" spans="1:14" x14ac:dyDescent="0.3">
      <c r="A19" t="s">
        <v>828</v>
      </c>
      <c r="B19" t="s">
        <v>828</v>
      </c>
      <c r="C19" t="s">
        <v>36</v>
      </c>
      <c r="D19" t="s">
        <v>36</v>
      </c>
      <c r="E19" t="s">
        <v>37</v>
      </c>
      <c r="F19" t="s">
        <v>3</v>
      </c>
      <c r="G19">
        <v>8672.4</v>
      </c>
      <c r="H19" t="s">
        <v>1231</v>
      </c>
      <c r="I19" t="s">
        <v>1332</v>
      </c>
      <c r="J19">
        <v>24373</v>
      </c>
      <c r="K19" t="s">
        <v>1280</v>
      </c>
      <c r="L19" s="1">
        <v>45</v>
      </c>
      <c r="M19" s="1">
        <f t="shared" si="0"/>
        <v>30</v>
      </c>
      <c r="N19" s="1">
        <v>75</v>
      </c>
    </row>
    <row r="20" spans="1:14" x14ac:dyDescent="0.3">
      <c r="A20" t="s">
        <v>829</v>
      </c>
      <c r="B20" t="s">
        <v>829</v>
      </c>
      <c r="C20" t="s">
        <v>38</v>
      </c>
      <c r="D20" t="s">
        <v>38</v>
      </c>
      <c r="E20" t="s">
        <v>39</v>
      </c>
      <c r="F20" t="s">
        <v>3</v>
      </c>
      <c r="G20">
        <v>7172.3</v>
      </c>
      <c r="H20" t="s">
        <v>1230</v>
      </c>
      <c r="I20" t="s">
        <v>1332</v>
      </c>
      <c r="J20">
        <v>20053</v>
      </c>
      <c r="K20" t="s">
        <v>1279</v>
      </c>
      <c r="L20" s="1">
        <v>45</v>
      </c>
      <c r="M20" s="1">
        <f t="shared" si="0"/>
        <v>18</v>
      </c>
      <c r="N20" s="1">
        <v>63</v>
      </c>
    </row>
    <row r="21" spans="1:14" x14ac:dyDescent="0.3">
      <c r="A21" t="s">
        <v>830</v>
      </c>
      <c r="B21" t="s">
        <v>830</v>
      </c>
      <c r="C21" t="s">
        <v>40</v>
      </c>
      <c r="D21" t="s">
        <v>40</v>
      </c>
      <c r="E21" t="s">
        <v>41</v>
      </c>
      <c r="F21" t="s">
        <v>3</v>
      </c>
      <c r="G21">
        <v>11177.24</v>
      </c>
      <c r="H21" t="s">
        <v>1230</v>
      </c>
      <c r="I21" t="s">
        <v>1332</v>
      </c>
      <c r="J21">
        <v>16642</v>
      </c>
      <c r="K21" t="s">
        <v>1279</v>
      </c>
      <c r="L21" s="1">
        <v>45</v>
      </c>
      <c r="M21" s="1">
        <f t="shared" si="0"/>
        <v>22</v>
      </c>
      <c r="N21" s="1">
        <v>67</v>
      </c>
    </row>
    <row r="22" spans="1:14" x14ac:dyDescent="0.3">
      <c r="A22" t="s">
        <v>831</v>
      </c>
      <c r="B22" t="s">
        <v>831</v>
      </c>
      <c r="C22" t="s">
        <v>42</v>
      </c>
      <c r="D22" t="s">
        <v>42</v>
      </c>
      <c r="E22" t="s">
        <v>43</v>
      </c>
      <c r="F22" t="s">
        <v>3</v>
      </c>
      <c r="G22">
        <v>7586.27</v>
      </c>
      <c r="H22" t="s">
        <v>1230</v>
      </c>
      <c r="I22" t="s">
        <v>1332</v>
      </c>
      <c r="J22">
        <v>20005</v>
      </c>
      <c r="K22" t="s">
        <v>1279</v>
      </c>
      <c r="L22" s="1">
        <v>45</v>
      </c>
      <c r="M22" s="1">
        <f t="shared" si="0"/>
        <v>15</v>
      </c>
      <c r="N22" s="1">
        <v>60</v>
      </c>
    </row>
    <row r="23" spans="1:14" x14ac:dyDescent="0.3">
      <c r="A23" t="s">
        <v>832</v>
      </c>
      <c r="B23" t="s">
        <v>832</v>
      </c>
      <c r="C23" t="s">
        <v>44</v>
      </c>
      <c r="D23" t="s">
        <v>44</v>
      </c>
      <c r="E23" t="s">
        <v>45</v>
      </c>
      <c r="F23" t="s">
        <v>3</v>
      </c>
      <c r="G23">
        <v>12284.37</v>
      </c>
      <c r="H23" t="s">
        <v>1230</v>
      </c>
      <c r="I23" t="s">
        <v>1332</v>
      </c>
      <c r="J23">
        <v>16677</v>
      </c>
      <c r="K23" t="s">
        <v>1279</v>
      </c>
      <c r="L23" s="1">
        <v>45</v>
      </c>
      <c r="M23" s="1">
        <f t="shared" si="0"/>
        <v>15</v>
      </c>
      <c r="N23" s="1">
        <v>60</v>
      </c>
    </row>
    <row r="24" spans="1:14" x14ac:dyDescent="0.3">
      <c r="A24" t="s">
        <v>833</v>
      </c>
      <c r="B24" t="s">
        <v>833</v>
      </c>
      <c r="C24" t="s">
        <v>46</v>
      </c>
      <c r="D24" t="s">
        <v>46</v>
      </c>
      <c r="E24" t="s">
        <v>47</v>
      </c>
      <c r="F24" t="s">
        <v>3</v>
      </c>
      <c r="G24">
        <v>16592.400000000001</v>
      </c>
      <c r="H24" t="s">
        <v>1231</v>
      </c>
      <c r="I24" t="s">
        <v>1332</v>
      </c>
      <c r="J24">
        <v>9201</v>
      </c>
      <c r="K24" t="s">
        <v>1279</v>
      </c>
      <c r="L24" s="1">
        <v>45</v>
      </c>
      <c r="M24" s="1">
        <f t="shared" si="0"/>
        <v>30</v>
      </c>
      <c r="N24" s="1">
        <v>75</v>
      </c>
    </row>
    <row r="25" spans="1:14" x14ac:dyDescent="0.3">
      <c r="A25" t="s">
        <v>834</v>
      </c>
      <c r="B25" t="s">
        <v>834</v>
      </c>
      <c r="C25" t="s">
        <v>48</v>
      </c>
      <c r="D25" t="s">
        <v>48</v>
      </c>
      <c r="E25" t="s">
        <v>49</v>
      </c>
      <c r="F25" t="s">
        <v>3</v>
      </c>
      <c r="G25">
        <v>3762</v>
      </c>
      <c r="H25" t="s">
        <v>1231</v>
      </c>
      <c r="I25" t="s">
        <v>1332</v>
      </c>
      <c r="J25">
        <v>32399</v>
      </c>
      <c r="K25" t="s">
        <v>1280</v>
      </c>
      <c r="L25" s="1">
        <v>45</v>
      </c>
      <c r="M25" s="1">
        <f t="shared" si="0"/>
        <v>26</v>
      </c>
      <c r="N25" s="1">
        <v>71</v>
      </c>
    </row>
    <row r="26" spans="1:14" x14ac:dyDescent="0.3">
      <c r="A26" t="s">
        <v>835</v>
      </c>
      <c r="B26" t="s">
        <v>835</v>
      </c>
      <c r="C26" t="s">
        <v>50</v>
      </c>
      <c r="D26" t="s">
        <v>50</v>
      </c>
      <c r="E26" t="s">
        <v>51</v>
      </c>
      <c r="F26" t="s">
        <v>3</v>
      </c>
      <c r="G26">
        <v>8910</v>
      </c>
      <c r="H26" t="s">
        <v>1231</v>
      </c>
      <c r="I26" t="s">
        <v>1332</v>
      </c>
      <c r="J26">
        <v>16188</v>
      </c>
      <c r="K26" t="s">
        <v>1279</v>
      </c>
      <c r="L26" s="1">
        <v>45</v>
      </c>
      <c r="M26" s="1">
        <f t="shared" si="0"/>
        <v>35</v>
      </c>
      <c r="N26" s="1">
        <v>80</v>
      </c>
    </row>
    <row r="27" spans="1:14" x14ac:dyDescent="0.3">
      <c r="A27" t="s">
        <v>836</v>
      </c>
      <c r="B27" t="s">
        <v>836</v>
      </c>
      <c r="C27" t="s">
        <v>52</v>
      </c>
      <c r="D27" t="s">
        <v>52</v>
      </c>
      <c r="E27" t="s">
        <v>53</v>
      </c>
      <c r="F27" t="s">
        <v>54</v>
      </c>
      <c r="G27">
        <v>3215.67</v>
      </c>
      <c r="H27" t="s">
        <v>1231</v>
      </c>
      <c r="I27" t="s">
        <v>1332</v>
      </c>
      <c r="J27">
        <v>11664</v>
      </c>
      <c r="K27" t="s">
        <v>1279</v>
      </c>
      <c r="L27" s="1">
        <v>45</v>
      </c>
      <c r="M27" s="1">
        <f t="shared" si="0"/>
        <v>15</v>
      </c>
      <c r="N27" s="1">
        <v>60</v>
      </c>
    </row>
    <row r="28" spans="1:14" x14ac:dyDescent="0.3">
      <c r="A28" t="s">
        <v>837</v>
      </c>
      <c r="B28" t="s">
        <v>837</v>
      </c>
      <c r="C28" t="s">
        <v>55</v>
      </c>
      <c r="D28" t="s">
        <v>55</v>
      </c>
      <c r="E28" t="s">
        <v>56</v>
      </c>
      <c r="F28" t="s">
        <v>54</v>
      </c>
      <c r="G28">
        <v>3215.67</v>
      </c>
      <c r="H28" t="s">
        <v>1231</v>
      </c>
      <c r="I28" t="s">
        <v>1332</v>
      </c>
      <c r="J28">
        <v>11664</v>
      </c>
      <c r="K28" t="s">
        <v>1279</v>
      </c>
      <c r="L28" s="1">
        <v>45</v>
      </c>
      <c r="M28" s="1">
        <f t="shared" si="0"/>
        <v>15</v>
      </c>
      <c r="N28" s="1">
        <v>60</v>
      </c>
    </row>
    <row r="29" spans="1:14" x14ac:dyDescent="0.3">
      <c r="A29" t="s">
        <v>838</v>
      </c>
      <c r="B29" t="s">
        <v>838</v>
      </c>
      <c r="C29" t="s">
        <v>57</v>
      </c>
      <c r="D29" t="s">
        <v>57</v>
      </c>
      <c r="E29" t="s">
        <v>58</v>
      </c>
      <c r="F29" t="s">
        <v>54</v>
      </c>
      <c r="G29">
        <v>16335</v>
      </c>
      <c r="H29" t="s">
        <v>1231</v>
      </c>
      <c r="I29" t="s">
        <v>1333</v>
      </c>
      <c r="J29">
        <v>8653</v>
      </c>
      <c r="K29" t="s">
        <v>1279</v>
      </c>
      <c r="L29" s="1">
        <v>0</v>
      </c>
      <c r="M29" s="1">
        <v>0</v>
      </c>
      <c r="N29" s="1">
        <v>0</v>
      </c>
    </row>
    <row r="30" spans="1:14" x14ac:dyDescent="0.3">
      <c r="A30" t="s">
        <v>839</v>
      </c>
      <c r="B30" t="s">
        <v>839</v>
      </c>
      <c r="C30" t="s">
        <v>59</v>
      </c>
      <c r="D30" t="s">
        <v>59</v>
      </c>
      <c r="E30" t="s">
        <v>60</v>
      </c>
      <c r="F30" t="s">
        <v>54</v>
      </c>
      <c r="G30">
        <v>23760</v>
      </c>
      <c r="H30" t="s">
        <v>1231</v>
      </c>
      <c r="I30" t="s">
        <v>1332</v>
      </c>
      <c r="J30">
        <v>6610</v>
      </c>
      <c r="K30" t="s">
        <v>1279</v>
      </c>
      <c r="L30" s="1">
        <v>45</v>
      </c>
      <c r="M30" s="1">
        <f t="shared" ref="M30:M33" si="1">N30-L30</f>
        <v>34</v>
      </c>
      <c r="N30" s="1">
        <v>79</v>
      </c>
    </row>
    <row r="31" spans="1:14" x14ac:dyDescent="0.3">
      <c r="A31" t="s">
        <v>840</v>
      </c>
      <c r="B31" t="s">
        <v>1295</v>
      </c>
      <c r="C31" t="s">
        <v>61</v>
      </c>
      <c r="D31" t="s">
        <v>1241</v>
      </c>
      <c r="E31" t="s">
        <v>1369</v>
      </c>
      <c r="F31" t="s">
        <v>54</v>
      </c>
      <c r="G31">
        <v>15926.63</v>
      </c>
      <c r="H31" t="s">
        <v>1231</v>
      </c>
      <c r="I31" t="s">
        <v>1332</v>
      </c>
      <c r="J31">
        <v>8653</v>
      </c>
      <c r="K31" t="s">
        <v>1279</v>
      </c>
      <c r="L31" s="1">
        <v>45</v>
      </c>
      <c r="M31" s="1">
        <f t="shared" si="1"/>
        <v>172</v>
      </c>
      <c r="N31" s="1">
        <v>217</v>
      </c>
    </row>
    <row r="32" spans="1:14" x14ac:dyDescent="0.3">
      <c r="A32" t="s">
        <v>841</v>
      </c>
      <c r="B32" t="s">
        <v>841</v>
      </c>
      <c r="C32" t="s">
        <v>62</v>
      </c>
      <c r="D32" t="s">
        <v>62</v>
      </c>
      <c r="E32" t="s">
        <v>63</v>
      </c>
      <c r="F32" t="s">
        <v>54</v>
      </c>
      <c r="G32">
        <v>1980</v>
      </c>
      <c r="H32" t="s">
        <v>1231</v>
      </c>
      <c r="I32" t="s">
        <v>1332</v>
      </c>
      <c r="J32">
        <v>4840</v>
      </c>
      <c r="K32" t="s">
        <v>1281</v>
      </c>
      <c r="L32" s="1">
        <v>45</v>
      </c>
      <c r="M32" s="1">
        <f t="shared" si="1"/>
        <v>17</v>
      </c>
      <c r="N32" s="1">
        <v>62</v>
      </c>
    </row>
    <row r="33" spans="1:14" x14ac:dyDescent="0.3">
      <c r="A33" t="s">
        <v>842</v>
      </c>
      <c r="B33" t="s">
        <v>842</v>
      </c>
      <c r="C33" t="s">
        <v>64</v>
      </c>
      <c r="D33" t="s">
        <v>64</v>
      </c>
      <c r="E33" t="s">
        <v>65</v>
      </c>
      <c r="F33" t="s">
        <v>54</v>
      </c>
      <c r="G33">
        <v>1980</v>
      </c>
      <c r="H33" t="s">
        <v>1231</v>
      </c>
      <c r="I33" t="s">
        <v>1332</v>
      </c>
      <c r="J33">
        <v>6635</v>
      </c>
      <c r="K33" t="s">
        <v>1281</v>
      </c>
      <c r="L33" s="1">
        <v>45</v>
      </c>
      <c r="M33" s="1">
        <f t="shared" si="1"/>
        <v>18</v>
      </c>
      <c r="N33" s="1">
        <v>63</v>
      </c>
    </row>
    <row r="34" spans="1:14" x14ac:dyDescent="0.3">
      <c r="A34" t="s">
        <v>843</v>
      </c>
      <c r="B34" t="s">
        <v>843</v>
      </c>
      <c r="C34" t="s">
        <v>66</v>
      </c>
      <c r="D34" t="s">
        <v>66</v>
      </c>
      <c r="E34" t="s">
        <v>67</v>
      </c>
      <c r="F34" t="s">
        <v>54</v>
      </c>
      <c r="G34">
        <v>1980</v>
      </c>
      <c r="H34" t="s">
        <v>1231</v>
      </c>
      <c r="I34" t="s">
        <v>1333</v>
      </c>
      <c r="J34">
        <v>6488</v>
      </c>
      <c r="K34" t="s">
        <v>1281</v>
      </c>
      <c r="L34" s="1">
        <v>0</v>
      </c>
      <c r="M34" s="1">
        <v>0</v>
      </c>
      <c r="N34" s="1">
        <v>0</v>
      </c>
    </row>
    <row r="35" spans="1:14" x14ac:dyDescent="0.3">
      <c r="A35" t="s">
        <v>844</v>
      </c>
      <c r="B35" t="s">
        <v>844</v>
      </c>
      <c r="C35" t="s">
        <v>68</v>
      </c>
      <c r="D35" t="s">
        <v>68</v>
      </c>
      <c r="E35" t="s">
        <v>69</v>
      </c>
      <c r="F35" t="s">
        <v>54</v>
      </c>
      <c r="G35">
        <v>1980</v>
      </c>
      <c r="H35" t="s">
        <v>1231</v>
      </c>
      <c r="I35" t="s">
        <v>1332</v>
      </c>
      <c r="J35">
        <v>4865</v>
      </c>
      <c r="K35" t="s">
        <v>1281</v>
      </c>
      <c r="L35" s="1">
        <v>45</v>
      </c>
      <c r="M35" s="1">
        <f t="shared" ref="M35:M39" si="2">N35-L35</f>
        <v>20</v>
      </c>
      <c r="N35" s="1">
        <v>65</v>
      </c>
    </row>
    <row r="36" spans="1:14" x14ac:dyDescent="0.3">
      <c r="A36" t="s">
        <v>845</v>
      </c>
      <c r="B36" t="s">
        <v>845</v>
      </c>
      <c r="C36" t="s">
        <v>70</v>
      </c>
      <c r="D36" t="s">
        <v>70</v>
      </c>
      <c r="E36" t="s">
        <v>71</v>
      </c>
      <c r="F36" t="s">
        <v>54</v>
      </c>
      <c r="G36">
        <v>1980</v>
      </c>
      <c r="H36" t="s">
        <v>1231</v>
      </c>
      <c r="I36" t="s">
        <v>1332</v>
      </c>
      <c r="J36">
        <v>13651</v>
      </c>
      <c r="K36" t="s">
        <v>1281</v>
      </c>
      <c r="L36" s="1">
        <v>45</v>
      </c>
      <c r="M36" s="1">
        <f t="shared" si="2"/>
        <v>34</v>
      </c>
      <c r="N36" s="1">
        <v>79</v>
      </c>
    </row>
    <row r="37" spans="1:14" x14ac:dyDescent="0.3">
      <c r="A37" t="s">
        <v>846</v>
      </c>
      <c r="B37" t="s">
        <v>846</v>
      </c>
      <c r="C37" t="s">
        <v>72</v>
      </c>
      <c r="D37" t="s">
        <v>72</v>
      </c>
      <c r="E37" t="s">
        <v>73</v>
      </c>
      <c r="F37" t="s">
        <v>54</v>
      </c>
      <c r="G37">
        <v>1980</v>
      </c>
      <c r="H37" t="s">
        <v>1231</v>
      </c>
      <c r="I37" t="s">
        <v>1332</v>
      </c>
      <c r="J37">
        <v>12946</v>
      </c>
      <c r="K37" t="s">
        <v>1281</v>
      </c>
      <c r="L37" s="1">
        <v>45</v>
      </c>
      <c r="M37" s="1">
        <f t="shared" si="2"/>
        <v>46</v>
      </c>
      <c r="N37" s="1">
        <v>91</v>
      </c>
    </row>
    <row r="38" spans="1:14" x14ac:dyDescent="0.3">
      <c r="A38" t="s">
        <v>847</v>
      </c>
      <c r="B38" t="s">
        <v>847</v>
      </c>
      <c r="C38" t="s">
        <v>74</v>
      </c>
      <c r="D38" t="s">
        <v>74</v>
      </c>
      <c r="E38" t="s">
        <v>75</v>
      </c>
      <c r="F38" t="s">
        <v>54</v>
      </c>
      <c r="G38">
        <v>1980</v>
      </c>
      <c r="H38" t="s">
        <v>1231</v>
      </c>
      <c r="I38" t="s">
        <v>1332</v>
      </c>
      <c r="J38">
        <v>6685</v>
      </c>
      <c r="K38" t="s">
        <v>1281</v>
      </c>
      <c r="L38" s="1">
        <v>45</v>
      </c>
      <c r="M38" s="1">
        <f t="shared" si="2"/>
        <v>15</v>
      </c>
      <c r="N38" s="1">
        <v>60</v>
      </c>
    </row>
    <row r="39" spans="1:14" x14ac:dyDescent="0.3">
      <c r="A39" t="s">
        <v>848</v>
      </c>
      <c r="B39" t="s">
        <v>848</v>
      </c>
      <c r="C39" t="s">
        <v>76</v>
      </c>
      <c r="D39" t="s">
        <v>76</v>
      </c>
      <c r="E39" t="s">
        <v>77</v>
      </c>
      <c r="F39" t="s">
        <v>54</v>
      </c>
      <c r="G39">
        <v>1980</v>
      </c>
      <c r="H39" t="s">
        <v>1231</v>
      </c>
      <c r="I39" t="s">
        <v>1332</v>
      </c>
      <c r="J39">
        <v>5962</v>
      </c>
      <c r="K39" t="s">
        <v>1281</v>
      </c>
      <c r="L39" s="1">
        <v>45</v>
      </c>
      <c r="M39" s="1">
        <f t="shared" si="2"/>
        <v>18</v>
      </c>
      <c r="N39" s="1">
        <v>63</v>
      </c>
    </row>
    <row r="40" spans="1:14" x14ac:dyDescent="0.3">
      <c r="A40" t="s">
        <v>849</v>
      </c>
      <c r="B40" t="s">
        <v>849</v>
      </c>
      <c r="C40" t="s">
        <v>78</v>
      </c>
      <c r="D40" t="s">
        <v>78</v>
      </c>
      <c r="E40" t="s">
        <v>79</v>
      </c>
      <c r="F40" t="s">
        <v>54</v>
      </c>
      <c r="G40">
        <v>2722.5</v>
      </c>
      <c r="H40" t="s">
        <v>1231</v>
      </c>
      <c r="I40" t="s">
        <v>1333</v>
      </c>
      <c r="J40">
        <v>7707</v>
      </c>
      <c r="K40" t="s">
        <v>1281</v>
      </c>
      <c r="L40" s="1">
        <v>0</v>
      </c>
      <c r="M40" s="1">
        <v>0</v>
      </c>
      <c r="N40" s="1">
        <v>0</v>
      </c>
    </row>
    <row r="41" spans="1:14" x14ac:dyDescent="0.3">
      <c r="A41" t="s">
        <v>850</v>
      </c>
      <c r="B41" t="s">
        <v>850</v>
      </c>
      <c r="C41" t="s">
        <v>80</v>
      </c>
      <c r="D41" t="s">
        <v>80</v>
      </c>
      <c r="E41" t="s">
        <v>81</v>
      </c>
      <c r="F41" t="s">
        <v>54</v>
      </c>
      <c r="G41">
        <v>2079</v>
      </c>
      <c r="H41" t="s">
        <v>1232</v>
      </c>
      <c r="I41" t="s">
        <v>1236</v>
      </c>
      <c r="J41">
        <v>6768</v>
      </c>
      <c r="K41" t="s">
        <v>1281</v>
      </c>
      <c r="L41" s="1">
        <v>45</v>
      </c>
      <c r="M41" s="1">
        <f t="shared" ref="M41:M67" si="3">N41-L41</f>
        <v>33</v>
      </c>
      <c r="N41" s="1">
        <v>78</v>
      </c>
    </row>
    <row r="42" spans="1:14" x14ac:dyDescent="0.3">
      <c r="A42" t="s">
        <v>851</v>
      </c>
      <c r="B42" t="s">
        <v>851</v>
      </c>
      <c r="C42" t="s">
        <v>82</v>
      </c>
      <c r="D42" t="s">
        <v>82</v>
      </c>
      <c r="E42" t="s">
        <v>83</v>
      </c>
      <c r="F42" t="s">
        <v>54</v>
      </c>
      <c r="G42">
        <v>1617</v>
      </c>
      <c r="H42" t="s">
        <v>1231</v>
      </c>
      <c r="I42" t="s">
        <v>1332</v>
      </c>
      <c r="J42">
        <v>5387</v>
      </c>
      <c r="K42" t="s">
        <v>1281</v>
      </c>
      <c r="L42" s="1">
        <v>45</v>
      </c>
      <c r="M42" s="1">
        <f t="shared" si="3"/>
        <v>15</v>
      </c>
      <c r="N42" s="1">
        <v>60</v>
      </c>
    </row>
    <row r="43" spans="1:14" x14ac:dyDescent="0.3">
      <c r="A43" t="s">
        <v>852</v>
      </c>
      <c r="B43" t="s">
        <v>852</v>
      </c>
      <c r="C43" t="s">
        <v>84</v>
      </c>
      <c r="D43" t="s">
        <v>84</v>
      </c>
      <c r="E43" t="s">
        <v>85</v>
      </c>
      <c r="F43" t="s">
        <v>54</v>
      </c>
      <c r="G43">
        <v>15246</v>
      </c>
      <c r="H43" t="s">
        <v>1231</v>
      </c>
      <c r="I43" t="s">
        <v>1332</v>
      </c>
      <c r="J43">
        <v>1601</v>
      </c>
      <c r="K43" t="s">
        <v>1279</v>
      </c>
      <c r="L43" s="1">
        <v>45</v>
      </c>
      <c r="M43" s="1">
        <f t="shared" si="3"/>
        <v>24</v>
      </c>
      <c r="N43" s="1">
        <v>69</v>
      </c>
    </row>
    <row r="44" spans="1:14" x14ac:dyDescent="0.3">
      <c r="A44" t="s">
        <v>853</v>
      </c>
      <c r="B44" t="s">
        <v>1296</v>
      </c>
      <c r="C44" t="s">
        <v>86</v>
      </c>
      <c r="D44" t="s">
        <v>1242</v>
      </c>
      <c r="E44" t="s">
        <v>87</v>
      </c>
      <c r="F44" t="s">
        <v>54</v>
      </c>
      <c r="G44">
        <v>9240</v>
      </c>
      <c r="H44" t="s">
        <v>1231</v>
      </c>
      <c r="I44" t="s">
        <v>1332</v>
      </c>
      <c r="J44">
        <v>440</v>
      </c>
      <c r="K44" t="s">
        <v>1279</v>
      </c>
      <c r="L44" s="1">
        <v>45</v>
      </c>
      <c r="M44" s="1">
        <f t="shared" si="3"/>
        <v>20</v>
      </c>
      <c r="N44" s="1">
        <v>65</v>
      </c>
    </row>
    <row r="45" spans="1:14" x14ac:dyDescent="0.3">
      <c r="A45" t="s">
        <v>854</v>
      </c>
      <c r="B45" t="s">
        <v>854</v>
      </c>
      <c r="C45" t="s">
        <v>88</v>
      </c>
      <c r="D45" t="s">
        <v>88</v>
      </c>
      <c r="E45" t="s">
        <v>89</v>
      </c>
      <c r="F45" t="s">
        <v>54</v>
      </c>
      <c r="G45">
        <v>16998.3</v>
      </c>
      <c r="H45" t="s">
        <v>1230</v>
      </c>
      <c r="I45" t="s">
        <v>1332</v>
      </c>
      <c r="J45">
        <v>10022</v>
      </c>
      <c r="K45" t="s">
        <v>1281</v>
      </c>
      <c r="L45" s="1">
        <v>45</v>
      </c>
      <c r="M45" s="1">
        <f t="shared" si="3"/>
        <v>25</v>
      </c>
      <c r="N45" s="1">
        <v>70</v>
      </c>
    </row>
    <row r="46" spans="1:14" x14ac:dyDescent="0.3">
      <c r="A46" t="s">
        <v>855</v>
      </c>
      <c r="B46" t="s">
        <v>855</v>
      </c>
      <c r="C46" t="s">
        <v>90</v>
      </c>
      <c r="D46" t="s">
        <v>90</v>
      </c>
      <c r="E46" t="s">
        <v>91</v>
      </c>
      <c r="F46" t="s">
        <v>54</v>
      </c>
      <c r="G46">
        <v>10048.5</v>
      </c>
      <c r="H46" t="s">
        <v>1230</v>
      </c>
      <c r="I46" t="s">
        <v>1332</v>
      </c>
      <c r="J46">
        <v>20034</v>
      </c>
      <c r="K46" t="s">
        <v>1281</v>
      </c>
      <c r="L46" s="1">
        <v>45</v>
      </c>
      <c r="M46" s="1">
        <f t="shared" si="3"/>
        <v>39</v>
      </c>
      <c r="N46" s="1">
        <v>84</v>
      </c>
    </row>
    <row r="47" spans="1:14" x14ac:dyDescent="0.3">
      <c r="A47" t="s">
        <v>856</v>
      </c>
      <c r="B47" t="s">
        <v>856</v>
      </c>
      <c r="C47" t="s">
        <v>92</v>
      </c>
      <c r="D47" t="s">
        <v>92</v>
      </c>
      <c r="E47" t="s">
        <v>93</v>
      </c>
      <c r="F47" t="s">
        <v>54</v>
      </c>
      <c r="G47">
        <v>33986.699999999997</v>
      </c>
      <c r="H47" t="s">
        <v>1230</v>
      </c>
      <c r="I47" t="s">
        <v>1332</v>
      </c>
      <c r="J47">
        <v>4831</v>
      </c>
      <c r="K47" t="s">
        <v>1281</v>
      </c>
      <c r="L47" s="1">
        <v>45</v>
      </c>
      <c r="M47" s="1">
        <f t="shared" si="3"/>
        <v>27</v>
      </c>
      <c r="N47" s="1">
        <v>72</v>
      </c>
    </row>
    <row r="48" spans="1:14" x14ac:dyDescent="0.3">
      <c r="A48" t="s">
        <v>857</v>
      </c>
      <c r="B48" t="s">
        <v>857</v>
      </c>
      <c r="C48" t="s">
        <v>94</v>
      </c>
      <c r="D48" t="s">
        <v>94</v>
      </c>
      <c r="E48" t="s">
        <v>95</v>
      </c>
      <c r="F48" t="s">
        <v>54</v>
      </c>
      <c r="G48">
        <v>11543.4</v>
      </c>
      <c r="H48" t="s">
        <v>1230</v>
      </c>
      <c r="I48" t="s">
        <v>1332</v>
      </c>
      <c r="J48">
        <v>40297</v>
      </c>
      <c r="K48" t="s">
        <v>1281</v>
      </c>
      <c r="L48" s="1">
        <v>45</v>
      </c>
      <c r="M48" s="1">
        <f t="shared" si="3"/>
        <v>236</v>
      </c>
      <c r="N48" s="1">
        <v>281</v>
      </c>
    </row>
    <row r="49" spans="1:14" x14ac:dyDescent="0.3">
      <c r="A49" t="s">
        <v>858</v>
      </c>
      <c r="B49" t="s">
        <v>858</v>
      </c>
      <c r="C49" t="s">
        <v>96</v>
      </c>
      <c r="D49" t="s">
        <v>96</v>
      </c>
      <c r="E49" t="s">
        <v>97</v>
      </c>
      <c r="F49" t="s">
        <v>54</v>
      </c>
      <c r="G49">
        <v>19512.900000000001</v>
      </c>
      <c r="H49" t="s">
        <v>1230</v>
      </c>
      <c r="I49" t="s">
        <v>1332</v>
      </c>
      <c r="J49">
        <v>20306</v>
      </c>
      <c r="K49" t="s">
        <v>1281</v>
      </c>
      <c r="L49" s="1">
        <v>45</v>
      </c>
      <c r="M49" s="1">
        <f t="shared" si="3"/>
        <v>53</v>
      </c>
      <c r="N49" s="1">
        <v>98</v>
      </c>
    </row>
    <row r="50" spans="1:14" x14ac:dyDescent="0.3">
      <c r="A50" t="s">
        <v>859</v>
      </c>
      <c r="B50" t="s">
        <v>859</v>
      </c>
      <c r="C50" t="s">
        <v>98</v>
      </c>
      <c r="D50" t="s">
        <v>98</v>
      </c>
      <c r="E50" t="s">
        <v>99</v>
      </c>
      <c r="F50" t="s">
        <v>54</v>
      </c>
      <c r="G50">
        <v>39025.800000000003</v>
      </c>
      <c r="H50" t="s">
        <v>1230</v>
      </c>
      <c r="I50" t="s">
        <v>1332</v>
      </c>
      <c r="J50">
        <v>9732</v>
      </c>
      <c r="K50" t="s">
        <v>1281</v>
      </c>
      <c r="L50" s="1">
        <v>45</v>
      </c>
      <c r="M50" s="1">
        <f t="shared" si="3"/>
        <v>23</v>
      </c>
      <c r="N50" s="1">
        <v>68</v>
      </c>
    </row>
    <row r="51" spans="1:14" x14ac:dyDescent="0.3">
      <c r="A51" t="s">
        <v>860</v>
      </c>
      <c r="B51" t="s">
        <v>860</v>
      </c>
      <c r="C51" t="s">
        <v>100</v>
      </c>
      <c r="D51" t="s">
        <v>100</v>
      </c>
      <c r="E51" t="s">
        <v>101</v>
      </c>
      <c r="F51" t="s">
        <v>54</v>
      </c>
      <c r="G51">
        <v>19512.900000000001</v>
      </c>
      <c r="H51" t="s">
        <v>1231</v>
      </c>
      <c r="I51" t="s">
        <v>1332</v>
      </c>
      <c r="J51">
        <v>2506</v>
      </c>
      <c r="K51" t="s">
        <v>1281</v>
      </c>
      <c r="L51" s="1">
        <v>45</v>
      </c>
      <c r="M51" s="1">
        <f t="shared" si="3"/>
        <v>29</v>
      </c>
      <c r="N51" s="1">
        <v>74</v>
      </c>
    </row>
    <row r="52" spans="1:14" x14ac:dyDescent="0.3">
      <c r="A52" t="s">
        <v>861</v>
      </c>
      <c r="B52" t="s">
        <v>861</v>
      </c>
      <c r="C52" t="s">
        <v>102</v>
      </c>
      <c r="D52" t="s">
        <v>102</v>
      </c>
      <c r="E52" t="s">
        <v>103</v>
      </c>
      <c r="F52" t="s">
        <v>54</v>
      </c>
      <c r="G52">
        <v>39025.800000000003</v>
      </c>
      <c r="H52" t="s">
        <v>1231</v>
      </c>
      <c r="I52" t="s">
        <v>1332</v>
      </c>
      <c r="J52">
        <v>1206</v>
      </c>
      <c r="K52" t="s">
        <v>1281</v>
      </c>
      <c r="L52" s="1">
        <v>45</v>
      </c>
      <c r="M52" s="1">
        <f t="shared" si="3"/>
        <v>25</v>
      </c>
      <c r="N52" s="1">
        <v>70</v>
      </c>
    </row>
    <row r="53" spans="1:14" x14ac:dyDescent="0.3">
      <c r="A53" t="s">
        <v>862</v>
      </c>
      <c r="B53" t="s">
        <v>862</v>
      </c>
      <c r="C53" t="s">
        <v>104</v>
      </c>
      <c r="D53" t="s">
        <v>104</v>
      </c>
      <c r="E53" t="s">
        <v>105</v>
      </c>
      <c r="F53" t="s">
        <v>54</v>
      </c>
      <c r="G53">
        <v>10395</v>
      </c>
      <c r="H53" t="s">
        <v>1231</v>
      </c>
      <c r="I53" t="s">
        <v>1332</v>
      </c>
      <c r="J53">
        <v>2460</v>
      </c>
      <c r="K53" t="s">
        <v>1279</v>
      </c>
      <c r="L53" s="1">
        <v>45</v>
      </c>
      <c r="M53" s="1">
        <f t="shared" si="3"/>
        <v>72</v>
      </c>
      <c r="N53" s="1">
        <v>117</v>
      </c>
    </row>
    <row r="54" spans="1:14" x14ac:dyDescent="0.3">
      <c r="A54" t="s">
        <v>863</v>
      </c>
      <c r="B54" t="s">
        <v>863</v>
      </c>
      <c r="C54" t="s">
        <v>106</v>
      </c>
      <c r="D54" t="s">
        <v>106</v>
      </c>
      <c r="E54" t="s">
        <v>107</v>
      </c>
      <c r="F54" t="s">
        <v>54</v>
      </c>
      <c r="G54">
        <v>16998.3</v>
      </c>
      <c r="H54" t="s">
        <v>1230</v>
      </c>
      <c r="I54" t="s">
        <v>1332</v>
      </c>
      <c r="J54">
        <v>20306</v>
      </c>
      <c r="K54" t="s">
        <v>1281</v>
      </c>
      <c r="L54" s="1">
        <v>45</v>
      </c>
      <c r="M54" s="1">
        <f t="shared" si="3"/>
        <v>19</v>
      </c>
      <c r="N54" s="1">
        <v>64</v>
      </c>
    </row>
    <row r="55" spans="1:14" x14ac:dyDescent="0.3">
      <c r="A55" t="s">
        <v>864</v>
      </c>
      <c r="B55" t="s">
        <v>864</v>
      </c>
      <c r="C55" t="s">
        <v>108</v>
      </c>
      <c r="D55" t="s">
        <v>108</v>
      </c>
      <c r="E55" t="s">
        <v>109</v>
      </c>
      <c r="F55" t="s">
        <v>54</v>
      </c>
      <c r="G55">
        <v>10048.5</v>
      </c>
      <c r="H55" t="s">
        <v>1230</v>
      </c>
      <c r="I55" t="s">
        <v>1332</v>
      </c>
      <c r="J55">
        <v>42105</v>
      </c>
      <c r="K55" t="s">
        <v>1281</v>
      </c>
      <c r="L55" s="1">
        <v>45</v>
      </c>
      <c r="M55" s="1">
        <f t="shared" si="3"/>
        <v>60</v>
      </c>
      <c r="N55" s="1">
        <v>105</v>
      </c>
    </row>
    <row r="56" spans="1:14" x14ac:dyDescent="0.3">
      <c r="A56" t="s">
        <v>865</v>
      </c>
      <c r="B56" t="s">
        <v>865</v>
      </c>
      <c r="C56" t="s">
        <v>110</v>
      </c>
      <c r="D56" t="s">
        <v>110</v>
      </c>
      <c r="E56" t="s">
        <v>111</v>
      </c>
      <c r="F56" t="s">
        <v>54</v>
      </c>
      <c r="G56">
        <v>33986.699999999997</v>
      </c>
      <c r="H56" t="s">
        <v>1230</v>
      </c>
      <c r="I56" t="s">
        <v>1332</v>
      </c>
      <c r="J56">
        <v>9732</v>
      </c>
      <c r="K56" t="s">
        <v>1281</v>
      </c>
      <c r="L56" s="1">
        <v>45</v>
      </c>
      <c r="M56" s="1">
        <f t="shared" si="3"/>
        <v>23</v>
      </c>
      <c r="N56" s="1">
        <v>68</v>
      </c>
    </row>
    <row r="57" spans="1:14" x14ac:dyDescent="0.3">
      <c r="A57" t="s">
        <v>866</v>
      </c>
      <c r="B57" t="s">
        <v>866</v>
      </c>
      <c r="C57" t="s">
        <v>112</v>
      </c>
      <c r="D57" t="s">
        <v>112</v>
      </c>
      <c r="E57" t="s">
        <v>113</v>
      </c>
      <c r="F57" t="s">
        <v>54</v>
      </c>
      <c r="G57">
        <v>11543.4</v>
      </c>
      <c r="H57" t="s">
        <v>1230</v>
      </c>
      <c r="I57" t="s">
        <v>1332</v>
      </c>
      <c r="J57">
        <v>40744</v>
      </c>
      <c r="K57" t="s">
        <v>1281</v>
      </c>
      <c r="L57" s="1">
        <v>45</v>
      </c>
      <c r="M57" s="1">
        <f t="shared" si="3"/>
        <v>38</v>
      </c>
      <c r="N57" s="1">
        <v>83</v>
      </c>
    </row>
    <row r="58" spans="1:14" x14ac:dyDescent="0.3">
      <c r="A58" t="s">
        <v>867</v>
      </c>
      <c r="B58" t="s">
        <v>867</v>
      </c>
      <c r="C58" t="s">
        <v>114</v>
      </c>
      <c r="D58" t="s">
        <v>114</v>
      </c>
      <c r="E58" t="s">
        <v>115</v>
      </c>
      <c r="F58" t="s">
        <v>54</v>
      </c>
      <c r="G58">
        <v>19512.900000000001</v>
      </c>
      <c r="H58" t="s">
        <v>1230</v>
      </c>
      <c r="I58" t="s">
        <v>1332</v>
      </c>
      <c r="J58">
        <v>20270</v>
      </c>
      <c r="K58" t="s">
        <v>1281</v>
      </c>
      <c r="L58" s="1">
        <v>45</v>
      </c>
      <c r="M58" s="1">
        <f t="shared" si="3"/>
        <v>18</v>
      </c>
      <c r="N58" s="1">
        <v>63</v>
      </c>
    </row>
    <row r="59" spans="1:14" x14ac:dyDescent="0.3">
      <c r="A59" t="s">
        <v>868</v>
      </c>
      <c r="B59" t="s">
        <v>868</v>
      </c>
      <c r="C59" t="s">
        <v>116</v>
      </c>
      <c r="D59" t="s">
        <v>116</v>
      </c>
      <c r="E59" t="s">
        <v>117</v>
      </c>
      <c r="F59" t="s">
        <v>54</v>
      </c>
      <c r="G59">
        <v>39025.800000000003</v>
      </c>
      <c r="H59" t="s">
        <v>1230</v>
      </c>
      <c r="I59" t="s">
        <v>1332</v>
      </c>
      <c r="J59">
        <v>9664</v>
      </c>
      <c r="K59" t="s">
        <v>1281</v>
      </c>
      <c r="L59" s="1">
        <v>45</v>
      </c>
      <c r="M59" s="1">
        <f t="shared" si="3"/>
        <v>19</v>
      </c>
      <c r="N59" s="1">
        <v>64</v>
      </c>
    </row>
    <row r="60" spans="1:14" x14ac:dyDescent="0.3">
      <c r="A60" t="s">
        <v>869</v>
      </c>
      <c r="B60" t="s">
        <v>869</v>
      </c>
      <c r="C60" t="s">
        <v>118</v>
      </c>
      <c r="D60" t="s">
        <v>118</v>
      </c>
      <c r="E60" t="s">
        <v>119</v>
      </c>
      <c r="F60" t="s">
        <v>54</v>
      </c>
      <c r="G60">
        <v>19512.900000000001</v>
      </c>
      <c r="H60" t="s">
        <v>1231</v>
      </c>
      <c r="I60" t="s">
        <v>1332</v>
      </c>
      <c r="J60">
        <v>20150</v>
      </c>
      <c r="K60" t="s">
        <v>1281</v>
      </c>
      <c r="L60" s="1">
        <v>45</v>
      </c>
      <c r="M60" s="1">
        <f t="shared" si="3"/>
        <v>180</v>
      </c>
      <c r="N60" s="1">
        <v>225</v>
      </c>
    </row>
    <row r="61" spans="1:14" x14ac:dyDescent="0.3">
      <c r="A61" t="s">
        <v>870</v>
      </c>
      <c r="B61" t="s">
        <v>870</v>
      </c>
      <c r="C61" t="s">
        <v>120</v>
      </c>
      <c r="D61" t="s">
        <v>120</v>
      </c>
      <c r="E61" t="s">
        <v>121</v>
      </c>
      <c r="F61" t="s">
        <v>54</v>
      </c>
      <c r="G61">
        <v>39025.800000000003</v>
      </c>
      <c r="H61" t="s">
        <v>1231</v>
      </c>
      <c r="I61" t="s">
        <v>1332</v>
      </c>
      <c r="J61">
        <v>9658</v>
      </c>
      <c r="K61" t="s">
        <v>1281</v>
      </c>
      <c r="L61" s="1">
        <v>45</v>
      </c>
      <c r="M61" s="1">
        <f t="shared" si="3"/>
        <v>64</v>
      </c>
      <c r="N61" s="1">
        <v>109</v>
      </c>
    </row>
    <row r="62" spans="1:14" x14ac:dyDescent="0.3">
      <c r="A62" t="s">
        <v>871</v>
      </c>
      <c r="B62" t="s">
        <v>871</v>
      </c>
      <c r="C62" t="s">
        <v>122</v>
      </c>
      <c r="D62" t="s">
        <v>122</v>
      </c>
      <c r="E62" t="s">
        <v>123</v>
      </c>
      <c r="F62" t="s">
        <v>54</v>
      </c>
      <c r="G62">
        <v>20106.900000000001</v>
      </c>
      <c r="H62" t="s">
        <v>1231</v>
      </c>
      <c r="I62" t="s">
        <v>1332</v>
      </c>
      <c r="J62">
        <v>20214</v>
      </c>
      <c r="K62" t="s">
        <v>1281</v>
      </c>
      <c r="L62" s="1">
        <v>45</v>
      </c>
      <c r="M62" s="1">
        <f t="shared" si="3"/>
        <v>179</v>
      </c>
      <c r="N62" s="1">
        <v>224</v>
      </c>
    </row>
    <row r="63" spans="1:14" x14ac:dyDescent="0.3">
      <c r="A63" t="s">
        <v>872</v>
      </c>
      <c r="B63" t="s">
        <v>872</v>
      </c>
      <c r="C63" t="s">
        <v>124</v>
      </c>
      <c r="D63" t="s">
        <v>124</v>
      </c>
      <c r="E63" t="s">
        <v>125</v>
      </c>
      <c r="F63" t="s">
        <v>54</v>
      </c>
      <c r="G63">
        <v>40203.9</v>
      </c>
      <c r="H63" t="s">
        <v>1231</v>
      </c>
      <c r="I63" t="s">
        <v>1332</v>
      </c>
      <c r="J63">
        <v>9603</v>
      </c>
      <c r="K63" t="s">
        <v>1281</v>
      </c>
      <c r="L63" s="1">
        <v>45</v>
      </c>
      <c r="M63" s="1">
        <f t="shared" si="3"/>
        <v>138</v>
      </c>
      <c r="N63" s="1">
        <v>183</v>
      </c>
    </row>
    <row r="64" spans="1:14" x14ac:dyDescent="0.3">
      <c r="A64" t="s">
        <v>873</v>
      </c>
      <c r="B64" t="s">
        <v>873</v>
      </c>
      <c r="C64" t="s">
        <v>126</v>
      </c>
      <c r="D64" t="s">
        <v>126</v>
      </c>
      <c r="E64" t="s">
        <v>127</v>
      </c>
      <c r="F64" t="s">
        <v>54</v>
      </c>
      <c r="G64">
        <v>13880</v>
      </c>
      <c r="H64" t="s">
        <v>1231</v>
      </c>
      <c r="I64" t="s">
        <v>1332</v>
      </c>
      <c r="J64">
        <v>2445</v>
      </c>
      <c r="K64" t="s">
        <v>1279</v>
      </c>
      <c r="L64" s="1">
        <v>45</v>
      </c>
      <c r="M64" s="1">
        <f t="shared" si="3"/>
        <v>38</v>
      </c>
      <c r="N64" s="1">
        <v>83</v>
      </c>
    </row>
    <row r="65" spans="1:14" x14ac:dyDescent="0.3">
      <c r="A65" t="s">
        <v>874</v>
      </c>
      <c r="B65" t="s">
        <v>874</v>
      </c>
      <c r="C65" t="s">
        <v>128</v>
      </c>
      <c r="D65" t="s">
        <v>128</v>
      </c>
      <c r="E65" t="s">
        <v>129</v>
      </c>
      <c r="F65" t="s">
        <v>54</v>
      </c>
      <c r="G65">
        <v>15414.3</v>
      </c>
      <c r="H65" t="s">
        <v>1231</v>
      </c>
      <c r="I65" t="s">
        <v>1332</v>
      </c>
      <c r="J65">
        <v>8500</v>
      </c>
      <c r="K65" t="s">
        <v>1283</v>
      </c>
      <c r="L65" s="1">
        <v>45</v>
      </c>
      <c r="M65" s="1">
        <f t="shared" si="3"/>
        <v>102</v>
      </c>
      <c r="N65" s="1">
        <v>147</v>
      </c>
    </row>
    <row r="66" spans="1:14" x14ac:dyDescent="0.3">
      <c r="A66" t="s">
        <v>875</v>
      </c>
      <c r="B66" t="s">
        <v>875</v>
      </c>
      <c r="C66" t="s">
        <v>130</v>
      </c>
      <c r="D66" t="s">
        <v>130</v>
      </c>
      <c r="E66" t="s">
        <v>131</v>
      </c>
      <c r="F66" t="s">
        <v>54</v>
      </c>
      <c r="G66">
        <v>19958.400000000001</v>
      </c>
      <c r="H66" t="s">
        <v>1231</v>
      </c>
      <c r="I66" t="s">
        <v>1332</v>
      </c>
      <c r="J66">
        <v>2750</v>
      </c>
      <c r="K66" t="s">
        <v>1283</v>
      </c>
      <c r="L66" s="1">
        <v>45</v>
      </c>
      <c r="M66" s="1">
        <f t="shared" si="3"/>
        <v>46</v>
      </c>
      <c r="N66" s="1">
        <v>91</v>
      </c>
    </row>
    <row r="67" spans="1:14" x14ac:dyDescent="0.3">
      <c r="A67" t="s">
        <v>876</v>
      </c>
      <c r="B67" t="s">
        <v>876</v>
      </c>
      <c r="C67" t="s">
        <v>132</v>
      </c>
      <c r="D67" t="s">
        <v>132</v>
      </c>
      <c r="E67" t="s">
        <v>133</v>
      </c>
      <c r="F67" t="s">
        <v>54</v>
      </c>
      <c r="G67">
        <v>13186.8</v>
      </c>
      <c r="H67" t="s">
        <v>1231</v>
      </c>
      <c r="I67" t="s">
        <v>1332</v>
      </c>
      <c r="J67">
        <v>4036</v>
      </c>
      <c r="K67" t="s">
        <v>1283</v>
      </c>
      <c r="L67" s="1">
        <v>45</v>
      </c>
      <c r="M67" s="1">
        <f t="shared" si="3"/>
        <v>53</v>
      </c>
      <c r="N67" s="1">
        <v>98</v>
      </c>
    </row>
    <row r="68" spans="1:14" x14ac:dyDescent="0.3">
      <c r="A68" t="s">
        <v>877</v>
      </c>
      <c r="B68" t="s">
        <v>877</v>
      </c>
      <c r="C68" t="s">
        <v>134</v>
      </c>
      <c r="D68" t="s">
        <v>134</v>
      </c>
      <c r="E68" t="s">
        <v>135</v>
      </c>
      <c r="F68" t="s">
        <v>54</v>
      </c>
      <c r="G68">
        <v>12503.7</v>
      </c>
      <c r="H68" t="s">
        <v>1231</v>
      </c>
      <c r="I68" t="s">
        <v>1333</v>
      </c>
      <c r="J68">
        <v>1042</v>
      </c>
      <c r="K68" t="s">
        <v>1283</v>
      </c>
      <c r="L68" s="1">
        <v>0</v>
      </c>
      <c r="M68" s="1">
        <v>0</v>
      </c>
      <c r="N68" s="1">
        <v>0</v>
      </c>
    </row>
    <row r="69" spans="1:14" x14ac:dyDescent="0.3">
      <c r="A69" t="s">
        <v>878</v>
      </c>
      <c r="B69" t="s">
        <v>878</v>
      </c>
      <c r="C69" t="s">
        <v>136</v>
      </c>
      <c r="D69" t="s">
        <v>136</v>
      </c>
      <c r="E69" t="s">
        <v>137</v>
      </c>
      <c r="F69" t="s">
        <v>54</v>
      </c>
      <c r="G69">
        <v>6237</v>
      </c>
      <c r="H69" t="s">
        <v>1231</v>
      </c>
      <c r="I69" t="s">
        <v>1332</v>
      </c>
      <c r="J69">
        <v>437</v>
      </c>
      <c r="K69" t="s">
        <v>1279</v>
      </c>
      <c r="L69" s="1">
        <v>45</v>
      </c>
      <c r="M69" s="1">
        <f t="shared" ref="M69:M100" si="4">N69-L69</f>
        <v>22</v>
      </c>
      <c r="N69" s="1">
        <v>67</v>
      </c>
    </row>
    <row r="70" spans="1:14" x14ac:dyDescent="0.3">
      <c r="A70" t="s">
        <v>879</v>
      </c>
      <c r="B70" t="s">
        <v>879</v>
      </c>
      <c r="C70" t="s">
        <v>138</v>
      </c>
      <c r="D70" t="s">
        <v>138</v>
      </c>
      <c r="E70" t="s">
        <v>139</v>
      </c>
      <c r="F70" t="s">
        <v>54</v>
      </c>
      <c r="G70">
        <v>10395</v>
      </c>
      <c r="H70" t="s">
        <v>1231</v>
      </c>
      <c r="I70" t="s">
        <v>1332</v>
      </c>
      <c r="J70">
        <v>221</v>
      </c>
      <c r="K70" t="s">
        <v>1279</v>
      </c>
      <c r="L70" s="1">
        <v>45</v>
      </c>
      <c r="M70" s="1">
        <f t="shared" si="4"/>
        <v>16</v>
      </c>
      <c r="N70" s="1">
        <v>61</v>
      </c>
    </row>
    <row r="71" spans="1:14" x14ac:dyDescent="0.3">
      <c r="A71" t="s">
        <v>880</v>
      </c>
      <c r="B71" t="s">
        <v>880</v>
      </c>
      <c r="C71" t="s">
        <v>140</v>
      </c>
      <c r="D71" t="s">
        <v>140</v>
      </c>
      <c r="E71" t="s">
        <v>141</v>
      </c>
      <c r="F71" t="s">
        <v>54</v>
      </c>
      <c r="G71">
        <v>6237</v>
      </c>
      <c r="H71" t="s">
        <v>1231</v>
      </c>
      <c r="I71" t="s">
        <v>1332</v>
      </c>
      <c r="J71">
        <v>437</v>
      </c>
      <c r="K71" t="s">
        <v>1279</v>
      </c>
      <c r="L71" s="1">
        <v>45</v>
      </c>
      <c r="M71" s="1">
        <f t="shared" si="4"/>
        <v>21</v>
      </c>
      <c r="N71" s="1">
        <v>66</v>
      </c>
    </row>
    <row r="72" spans="1:14" x14ac:dyDescent="0.3">
      <c r="A72" t="s">
        <v>881</v>
      </c>
      <c r="B72" t="s">
        <v>881</v>
      </c>
      <c r="C72" t="s">
        <v>142</v>
      </c>
      <c r="D72" t="s">
        <v>142</v>
      </c>
      <c r="E72" t="s">
        <v>143</v>
      </c>
      <c r="F72" t="s">
        <v>54</v>
      </c>
      <c r="G72">
        <v>10395</v>
      </c>
      <c r="H72" t="s">
        <v>1231</v>
      </c>
      <c r="I72" t="s">
        <v>1332</v>
      </c>
      <c r="J72">
        <v>222</v>
      </c>
      <c r="K72" t="s">
        <v>1279</v>
      </c>
      <c r="L72" s="1">
        <v>45</v>
      </c>
      <c r="M72" s="1">
        <f t="shared" si="4"/>
        <v>20</v>
      </c>
      <c r="N72" s="1">
        <v>65</v>
      </c>
    </row>
    <row r="73" spans="1:14" x14ac:dyDescent="0.3">
      <c r="A73" t="s">
        <v>882</v>
      </c>
      <c r="B73" t="s">
        <v>882</v>
      </c>
      <c r="C73" t="s">
        <v>144</v>
      </c>
      <c r="D73" t="s">
        <v>144</v>
      </c>
      <c r="E73" t="s">
        <v>145</v>
      </c>
      <c r="F73" t="s">
        <v>54</v>
      </c>
      <c r="G73">
        <v>11220</v>
      </c>
      <c r="H73" t="s">
        <v>1231</v>
      </c>
      <c r="I73" t="s">
        <v>1332</v>
      </c>
      <c r="J73">
        <v>1967</v>
      </c>
      <c r="K73" t="s">
        <v>1279</v>
      </c>
      <c r="L73" s="1">
        <v>45</v>
      </c>
      <c r="M73" s="1">
        <f t="shared" si="4"/>
        <v>15</v>
      </c>
      <c r="N73" s="1">
        <v>60</v>
      </c>
    </row>
    <row r="74" spans="1:14" x14ac:dyDescent="0.3">
      <c r="A74" t="s">
        <v>883</v>
      </c>
      <c r="B74" t="s">
        <v>883</v>
      </c>
      <c r="C74" t="s">
        <v>146</v>
      </c>
      <c r="D74" t="s">
        <v>146</v>
      </c>
      <c r="E74" t="s">
        <v>147</v>
      </c>
      <c r="F74" t="s">
        <v>54</v>
      </c>
      <c r="G74">
        <v>11220</v>
      </c>
      <c r="H74" t="s">
        <v>1231</v>
      </c>
      <c r="I74" t="s">
        <v>1332</v>
      </c>
      <c r="J74">
        <v>1965</v>
      </c>
      <c r="K74" t="s">
        <v>1279</v>
      </c>
      <c r="L74" s="1">
        <v>45</v>
      </c>
      <c r="M74" s="1">
        <f t="shared" si="4"/>
        <v>17</v>
      </c>
      <c r="N74" s="1">
        <v>62</v>
      </c>
    </row>
    <row r="75" spans="1:14" x14ac:dyDescent="0.3">
      <c r="A75" t="s">
        <v>884</v>
      </c>
      <c r="B75" t="s">
        <v>884</v>
      </c>
      <c r="C75" t="s">
        <v>148</v>
      </c>
      <c r="D75" t="s">
        <v>148</v>
      </c>
      <c r="E75" t="s">
        <v>149</v>
      </c>
      <c r="F75" t="s">
        <v>54</v>
      </c>
      <c r="G75">
        <v>10890</v>
      </c>
      <c r="H75" t="s">
        <v>1231</v>
      </c>
      <c r="I75" t="s">
        <v>1332</v>
      </c>
      <c r="J75">
        <v>953</v>
      </c>
      <c r="K75" t="s">
        <v>1279</v>
      </c>
      <c r="L75" s="1">
        <v>45</v>
      </c>
      <c r="M75" s="1">
        <f t="shared" si="4"/>
        <v>32</v>
      </c>
      <c r="N75" s="1">
        <v>77</v>
      </c>
    </row>
    <row r="76" spans="1:14" x14ac:dyDescent="0.3">
      <c r="A76" t="s">
        <v>885</v>
      </c>
      <c r="B76" t="s">
        <v>885</v>
      </c>
      <c r="C76" t="s">
        <v>150</v>
      </c>
      <c r="D76" t="s">
        <v>150</v>
      </c>
      <c r="E76" t="s">
        <v>151</v>
      </c>
      <c r="F76" t="s">
        <v>54</v>
      </c>
      <c r="G76">
        <v>8910</v>
      </c>
      <c r="H76" t="s">
        <v>1231</v>
      </c>
      <c r="I76" t="s">
        <v>1332</v>
      </c>
      <c r="J76">
        <v>1647</v>
      </c>
      <c r="K76" t="s">
        <v>1281</v>
      </c>
      <c r="L76" s="1">
        <v>45</v>
      </c>
      <c r="M76" s="1">
        <f t="shared" si="4"/>
        <v>18</v>
      </c>
      <c r="N76" s="1">
        <v>63</v>
      </c>
    </row>
    <row r="77" spans="1:14" x14ac:dyDescent="0.3">
      <c r="A77" t="s">
        <v>886</v>
      </c>
      <c r="B77" t="s">
        <v>886</v>
      </c>
      <c r="C77" t="s">
        <v>152</v>
      </c>
      <c r="D77" t="s">
        <v>152</v>
      </c>
      <c r="E77" t="s">
        <v>153</v>
      </c>
      <c r="F77" t="s">
        <v>54</v>
      </c>
      <c r="G77">
        <v>18364.5</v>
      </c>
      <c r="H77" t="s">
        <v>1231</v>
      </c>
      <c r="I77" t="s">
        <v>1332</v>
      </c>
      <c r="J77">
        <v>1597</v>
      </c>
      <c r="K77" t="s">
        <v>1281</v>
      </c>
      <c r="L77" s="1">
        <v>45</v>
      </c>
      <c r="M77" s="1">
        <f t="shared" si="4"/>
        <v>156</v>
      </c>
      <c r="N77" s="1">
        <v>201</v>
      </c>
    </row>
    <row r="78" spans="1:14" x14ac:dyDescent="0.3">
      <c r="A78" t="s">
        <v>887</v>
      </c>
      <c r="B78" t="s">
        <v>887</v>
      </c>
      <c r="C78" t="s">
        <v>154</v>
      </c>
      <c r="D78" t="s">
        <v>154</v>
      </c>
      <c r="E78" t="s">
        <v>155</v>
      </c>
      <c r="F78" t="s">
        <v>54</v>
      </c>
      <c r="G78">
        <v>6587.85</v>
      </c>
      <c r="H78" t="s">
        <v>1232</v>
      </c>
      <c r="I78" t="s">
        <v>1236</v>
      </c>
      <c r="J78">
        <v>7387</v>
      </c>
      <c r="K78" t="s">
        <v>1284</v>
      </c>
      <c r="L78" s="1">
        <v>45</v>
      </c>
      <c r="M78" s="1">
        <f t="shared" si="4"/>
        <v>31</v>
      </c>
      <c r="N78" s="1">
        <v>76</v>
      </c>
    </row>
    <row r="79" spans="1:14" x14ac:dyDescent="0.3">
      <c r="A79" t="s">
        <v>888</v>
      </c>
      <c r="B79" t="s">
        <v>888</v>
      </c>
      <c r="C79" t="s">
        <v>156</v>
      </c>
      <c r="D79" t="s">
        <v>156</v>
      </c>
      <c r="E79" t="s">
        <v>157</v>
      </c>
      <c r="F79" t="s">
        <v>54</v>
      </c>
      <c r="G79">
        <v>16872</v>
      </c>
      <c r="H79" t="s">
        <v>1232</v>
      </c>
      <c r="I79" t="s">
        <v>1236</v>
      </c>
      <c r="J79">
        <v>2945</v>
      </c>
      <c r="K79" t="s">
        <v>1284</v>
      </c>
      <c r="L79" s="1">
        <v>45</v>
      </c>
      <c r="M79" s="1">
        <f t="shared" si="4"/>
        <v>43</v>
      </c>
      <c r="N79" s="1">
        <v>88</v>
      </c>
    </row>
    <row r="80" spans="1:14" x14ac:dyDescent="0.3">
      <c r="A80" t="s">
        <v>889</v>
      </c>
      <c r="B80" t="s">
        <v>889</v>
      </c>
      <c r="C80" t="s">
        <v>158</v>
      </c>
      <c r="D80" t="s">
        <v>158</v>
      </c>
      <c r="E80" t="s">
        <v>159</v>
      </c>
      <c r="F80" t="s">
        <v>54</v>
      </c>
      <c r="G80">
        <v>7524</v>
      </c>
      <c r="H80" t="s">
        <v>1232</v>
      </c>
      <c r="I80" t="s">
        <v>1236</v>
      </c>
      <c r="J80">
        <v>40044</v>
      </c>
      <c r="K80" t="s">
        <v>1281</v>
      </c>
      <c r="L80" s="1">
        <v>45</v>
      </c>
      <c r="M80" s="1">
        <f t="shared" si="4"/>
        <v>556</v>
      </c>
      <c r="N80" s="1">
        <v>601</v>
      </c>
    </row>
    <row r="81" spans="1:14" x14ac:dyDescent="0.3">
      <c r="A81" t="s">
        <v>890</v>
      </c>
      <c r="B81" t="s">
        <v>890</v>
      </c>
      <c r="C81" t="s">
        <v>160</v>
      </c>
      <c r="D81" t="s">
        <v>160</v>
      </c>
      <c r="E81" t="s">
        <v>161</v>
      </c>
      <c r="F81" t="s">
        <v>54</v>
      </c>
      <c r="G81">
        <v>12721.5</v>
      </c>
      <c r="H81" t="s">
        <v>1232</v>
      </c>
      <c r="I81" t="s">
        <v>1236</v>
      </c>
      <c r="J81">
        <v>19882</v>
      </c>
      <c r="K81" t="s">
        <v>1281</v>
      </c>
      <c r="L81" s="1">
        <v>45</v>
      </c>
      <c r="M81" s="1">
        <f t="shared" si="4"/>
        <v>131</v>
      </c>
      <c r="N81" s="1">
        <v>176</v>
      </c>
    </row>
    <row r="82" spans="1:14" x14ac:dyDescent="0.3">
      <c r="A82" t="s">
        <v>891</v>
      </c>
      <c r="B82" t="s">
        <v>891</v>
      </c>
      <c r="C82" t="s">
        <v>162</v>
      </c>
      <c r="D82" t="s">
        <v>162</v>
      </c>
      <c r="E82" t="s">
        <v>163</v>
      </c>
      <c r="F82" t="s">
        <v>54</v>
      </c>
      <c r="G82">
        <v>24888.6</v>
      </c>
      <c r="H82" t="s">
        <v>1232</v>
      </c>
      <c r="I82" t="s">
        <v>1236</v>
      </c>
      <c r="J82">
        <v>9601</v>
      </c>
      <c r="K82" t="s">
        <v>1281</v>
      </c>
      <c r="L82" s="1">
        <v>45</v>
      </c>
      <c r="M82" s="1">
        <f t="shared" si="4"/>
        <v>84</v>
      </c>
      <c r="N82" s="1">
        <v>129</v>
      </c>
    </row>
    <row r="83" spans="1:14" x14ac:dyDescent="0.3">
      <c r="A83" t="s">
        <v>892</v>
      </c>
      <c r="B83" t="s">
        <v>892</v>
      </c>
      <c r="C83" t="s">
        <v>164</v>
      </c>
      <c r="D83" t="s">
        <v>164</v>
      </c>
      <c r="E83" t="s">
        <v>1370</v>
      </c>
      <c r="F83" t="s">
        <v>54</v>
      </c>
      <c r="G83">
        <v>7524</v>
      </c>
      <c r="H83" t="s">
        <v>1232</v>
      </c>
      <c r="I83" t="s">
        <v>1236</v>
      </c>
      <c r="J83">
        <v>39628</v>
      </c>
      <c r="K83" t="s">
        <v>1281</v>
      </c>
      <c r="L83" s="1">
        <v>45</v>
      </c>
      <c r="M83" s="1">
        <f t="shared" si="4"/>
        <v>645</v>
      </c>
      <c r="N83" s="1">
        <v>690</v>
      </c>
    </row>
    <row r="84" spans="1:14" x14ac:dyDescent="0.3">
      <c r="A84" t="s">
        <v>893</v>
      </c>
      <c r="B84" t="s">
        <v>893</v>
      </c>
      <c r="C84" t="s">
        <v>165</v>
      </c>
      <c r="D84" t="s">
        <v>165</v>
      </c>
      <c r="E84" t="s">
        <v>1371</v>
      </c>
      <c r="F84" t="s">
        <v>54</v>
      </c>
      <c r="G84">
        <v>12721.5</v>
      </c>
      <c r="H84" t="s">
        <v>1232</v>
      </c>
      <c r="I84" t="s">
        <v>1236</v>
      </c>
      <c r="J84">
        <v>20038</v>
      </c>
      <c r="K84" t="s">
        <v>1281</v>
      </c>
      <c r="L84" s="1">
        <v>45</v>
      </c>
      <c r="M84" s="1">
        <f t="shared" si="4"/>
        <v>137</v>
      </c>
      <c r="N84" s="1">
        <v>182</v>
      </c>
    </row>
    <row r="85" spans="1:14" x14ac:dyDescent="0.3">
      <c r="A85" t="s">
        <v>894</v>
      </c>
      <c r="B85" t="s">
        <v>894</v>
      </c>
      <c r="C85" t="s">
        <v>166</v>
      </c>
      <c r="D85" t="s">
        <v>166</v>
      </c>
      <c r="E85" t="s">
        <v>1372</v>
      </c>
      <c r="F85" t="s">
        <v>54</v>
      </c>
      <c r="G85">
        <v>24885.63</v>
      </c>
      <c r="H85" t="s">
        <v>1232</v>
      </c>
      <c r="I85" t="s">
        <v>1236</v>
      </c>
      <c r="J85">
        <v>9636</v>
      </c>
      <c r="K85" t="s">
        <v>1281</v>
      </c>
      <c r="L85" s="1">
        <v>45</v>
      </c>
      <c r="M85" s="1">
        <f t="shared" si="4"/>
        <v>76</v>
      </c>
      <c r="N85" s="1">
        <v>121</v>
      </c>
    </row>
    <row r="86" spans="1:14" x14ac:dyDescent="0.3">
      <c r="A86" t="s">
        <v>895</v>
      </c>
      <c r="B86" t="s">
        <v>895</v>
      </c>
      <c r="C86" t="s">
        <v>167</v>
      </c>
      <c r="D86" t="s">
        <v>167</v>
      </c>
      <c r="E86" t="s">
        <v>168</v>
      </c>
      <c r="F86" t="s">
        <v>54</v>
      </c>
      <c r="G86">
        <v>22324.5</v>
      </c>
      <c r="H86" t="s">
        <v>1231</v>
      </c>
      <c r="I86" t="s">
        <v>1332</v>
      </c>
      <c r="J86">
        <v>4894</v>
      </c>
      <c r="K86" t="s">
        <v>1279</v>
      </c>
      <c r="L86" s="1">
        <v>45</v>
      </c>
      <c r="M86" s="1">
        <f t="shared" si="4"/>
        <v>15</v>
      </c>
      <c r="N86" s="1">
        <v>60</v>
      </c>
    </row>
    <row r="87" spans="1:14" x14ac:dyDescent="0.3">
      <c r="A87" t="s">
        <v>896</v>
      </c>
      <c r="B87" t="s">
        <v>896</v>
      </c>
      <c r="C87" t="s">
        <v>169</v>
      </c>
      <c r="D87" t="s">
        <v>169</v>
      </c>
      <c r="E87" t="s">
        <v>170</v>
      </c>
      <c r="F87" t="s">
        <v>54</v>
      </c>
      <c r="G87">
        <v>13246.2</v>
      </c>
      <c r="H87" t="s">
        <v>1231</v>
      </c>
      <c r="I87" t="s">
        <v>1332</v>
      </c>
      <c r="J87">
        <v>9657</v>
      </c>
      <c r="K87" t="s">
        <v>1279</v>
      </c>
      <c r="L87" s="1">
        <v>45</v>
      </c>
      <c r="M87" s="1">
        <f t="shared" si="4"/>
        <v>15</v>
      </c>
      <c r="N87" s="1">
        <v>60</v>
      </c>
    </row>
    <row r="88" spans="1:14" x14ac:dyDescent="0.3">
      <c r="A88" t="s">
        <v>897</v>
      </c>
      <c r="B88" t="s">
        <v>897</v>
      </c>
      <c r="C88" t="s">
        <v>171</v>
      </c>
      <c r="D88" t="s">
        <v>171</v>
      </c>
      <c r="E88" t="s">
        <v>172</v>
      </c>
      <c r="F88" t="s">
        <v>54</v>
      </c>
      <c r="G88">
        <v>39669.300000000003</v>
      </c>
      <c r="H88" t="s">
        <v>1231</v>
      </c>
      <c r="I88" t="s">
        <v>1332</v>
      </c>
      <c r="J88">
        <v>2323</v>
      </c>
      <c r="K88" t="s">
        <v>1279</v>
      </c>
      <c r="L88" s="1">
        <v>45</v>
      </c>
      <c r="M88" s="1">
        <f t="shared" si="4"/>
        <v>15</v>
      </c>
      <c r="N88" s="1">
        <v>60</v>
      </c>
    </row>
    <row r="89" spans="1:14" x14ac:dyDescent="0.3">
      <c r="A89" t="s">
        <v>898</v>
      </c>
      <c r="B89" t="s">
        <v>898</v>
      </c>
      <c r="C89" t="s">
        <v>173</v>
      </c>
      <c r="D89" t="s">
        <v>173</v>
      </c>
      <c r="E89" t="s">
        <v>174</v>
      </c>
      <c r="F89" t="s">
        <v>54</v>
      </c>
      <c r="G89">
        <v>26730</v>
      </c>
      <c r="H89" t="s">
        <v>1231</v>
      </c>
      <c r="I89" t="s">
        <v>1332</v>
      </c>
      <c r="J89">
        <v>936</v>
      </c>
      <c r="K89" t="s">
        <v>1279</v>
      </c>
      <c r="L89" s="1">
        <v>45</v>
      </c>
      <c r="M89" s="1">
        <f t="shared" si="4"/>
        <v>19</v>
      </c>
      <c r="N89" s="1">
        <v>64</v>
      </c>
    </row>
    <row r="90" spans="1:14" x14ac:dyDescent="0.3">
      <c r="A90" t="s">
        <v>899</v>
      </c>
      <c r="B90" t="s">
        <v>899</v>
      </c>
      <c r="C90" t="s">
        <v>175</v>
      </c>
      <c r="D90" t="s">
        <v>175</v>
      </c>
      <c r="E90" t="s">
        <v>176</v>
      </c>
      <c r="F90" t="s">
        <v>54</v>
      </c>
      <c r="G90">
        <v>16335</v>
      </c>
      <c r="H90" t="s">
        <v>1231</v>
      </c>
      <c r="I90" t="s">
        <v>1332</v>
      </c>
      <c r="J90">
        <v>3195</v>
      </c>
      <c r="K90" t="s">
        <v>1279</v>
      </c>
      <c r="L90" s="1">
        <v>45</v>
      </c>
      <c r="M90" s="1">
        <f t="shared" si="4"/>
        <v>65</v>
      </c>
      <c r="N90" s="1">
        <v>110</v>
      </c>
    </row>
    <row r="91" spans="1:14" x14ac:dyDescent="0.3">
      <c r="A91" t="s">
        <v>900</v>
      </c>
      <c r="B91" t="s">
        <v>900</v>
      </c>
      <c r="C91" t="s">
        <v>177</v>
      </c>
      <c r="D91" t="s">
        <v>177</v>
      </c>
      <c r="E91" t="s">
        <v>178</v>
      </c>
      <c r="F91" t="s">
        <v>54</v>
      </c>
      <c r="G91">
        <v>19998</v>
      </c>
      <c r="H91" t="s">
        <v>1231</v>
      </c>
      <c r="I91" t="s">
        <v>1332</v>
      </c>
      <c r="J91">
        <v>1711</v>
      </c>
      <c r="K91" t="s">
        <v>1279</v>
      </c>
      <c r="L91" s="1">
        <v>45</v>
      </c>
      <c r="M91" s="1">
        <f t="shared" si="4"/>
        <v>88</v>
      </c>
      <c r="N91" s="1">
        <v>133</v>
      </c>
    </row>
    <row r="92" spans="1:14" x14ac:dyDescent="0.3">
      <c r="A92" t="s">
        <v>901</v>
      </c>
      <c r="B92" t="s">
        <v>901</v>
      </c>
      <c r="C92" t="s">
        <v>179</v>
      </c>
      <c r="D92" t="s">
        <v>179</v>
      </c>
      <c r="E92" t="s">
        <v>180</v>
      </c>
      <c r="F92" t="s">
        <v>54</v>
      </c>
      <c r="G92">
        <v>42495.75</v>
      </c>
      <c r="H92" t="s">
        <v>1231</v>
      </c>
      <c r="I92" t="s">
        <v>1332</v>
      </c>
      <c r="J92">
        <v>757</v>
      </c>
      <c r="K92" t="s">
        <v>1279</v>
      </c>
      <c r="L92" s="1">
        <v>45</v>
      </c>
      <c r="M92" s="1">
        <f t="shared" si="4"/>
        <v>31</v>
      </c>
      <c r="N92" s="1">
        <v>76</v>
      </c>
    </row>
    <row r="93" spans="1:14" x14ac:dyDescent="0.3">
      <c r="A93" t="s">
        <v>902</v>
      </c>
      <c r="B93" t="s">
        <v>902</v>
      </c>
      <c r="C93" t="s">
        <v>181</v>
      </c>
      <c r="D93" t="s">
        <v>181</v>
      </c>
      <c r="E93" t="s">
        <v>182</v>
      </c>
      <c r="F93" t="s">
        <v>183</v>
      </c>
      <c r="G93">
        <v>55667.7</v>
      </c>
      <c r="H93" t="s">
        <v>1231</v>
      </c>
      <c r="I93" t="s">
        <v>1332</v>
      </c>
      <c r="J93">
        <v>9888</v>
      </c>
      <c r="K93" t="s">
        <v>1285</v>
      </c>
      <c r="L93" s="1">
        <v>45</v>
      </c>
      <c r="M93" s="1">
        <f t="shared" si="4"/>
        <v>17</v>
      </c>
      <c r="N93" s="1">
        <v>62</v>
      </c>
    </row>
    <row r="94" spans="1:14" x14ac:dyDescent="0.3">
      <c r="A94" t="s">
        <v>903</v>
      </c>
      <c r="B94" t="s">
        <v>903</v>
      </c>
      <c r="C94" t="s">
        <v>184</v>
      </c>
      <c r="D94" t="s">
        <v>184</v>
      </c>
      <c r="E94" t="s">
        <v>185</v>
      </c>
      <c r="F94" t="s">
        <v>183</v>
      </c>
      <c r="G94">
        <v>23859</v>
      </c>
      <c r="H94" t="s">
        <v>1231</v>
      </c>
      <c r="I94" t="s">
        <v>1332</v>
      </c>
      <c r="J94">
        <v>25333</v>
      </c>
      <c r="K94" t="s">
        <v>1285</v>
      </c>
      <c r="L94" s="1">
        <v>45</v>
      </c>
      <c r="M94" s="1">
        <f t="shared" si="4"/>
        <v>37</v>
      </c>
      <c r="N94" s="1">
        <v>82</v>
      </c>
    </row>
    <row r="95" spans="1:14" x14ac:dyDescent="0.3">
      <c r="A95" t="s">
        <v>904</v>
      </c>
      <c r="B95" t="s">
        <v>904</v>
      </c>
      <c r="C95" t="s">
        <v>186</v>
      </c>
      <c r="D95" t="s">
        <v>186</v>
      </c>
      <c r="E95" t="s">
        <v>187</v>
      </c>
      <c r="F95" t="s">
        <v>183</v>
      </c>
      <c r="G95">
        <v>12117.6</v>
      </c>
      <c r="H95" t="s">
        <v>1231</v>
      </c>
      <c r="I95" t="s">
        <v>1332</v>
      </c>
      <c r="J95">
        <v>50600</v>
      </c>
      <c r="K95" t="s">
        <v>1285</v>
      </c>
      <c r="L95" s="1">
        <v>45</v>
      </c>
      <c r="M95" s="1">
        <f t="shared" si="4"/>
        <v>104</v>
      </c>
      <c r="N95" s="1">
        <v>149</v>
      </c>
    </row>
    <row r="96" spans="1:14" x14ac:dyDescent="0.3">
      <c r="A96" t="s">
        <v>905</v>
      </c>
      <c r="B96" t="s">
        <v>905</v>
      </c>
      <c r="C96" t="s">
        <v>188</v>
      </c>
      <c r="D96" t="s">
        <v>188</v>
      </c>
      <c r="E96" t="s">
        <v>189</v>
      </c>
      <c r="F96" t="s">
        <v>183</v>
      </c>
      <c r="G96">
        <v>29898</v>
      </c>
      <c r="H96" t="s">
        <v>1231</v>
      </c>
      <c r="I96" t="s">
        <v>1332</v>
      </c>
      <c r="J96">
        <v>1881</v>
      </c>
      <c r="K96" t="s">
        <v>1285</v>
      </c>
      <c r="L96" s="1">
        <v>45</v>
      </c>
      <c r="M96" s="1">
        <f t="shared" si="4"/>
        <v>23</v>
      </c>
      <c r="N96" s="1">
        <v>68</v>
      </c>
    </row>
    <row r="97" spans="1:14" x14ac:dyDescent="0.3">
      <c r="A97" t="s">
        <v>906</v>
      </c>
      <c r="B97" t="s">
        <v>906</v>
      </c>
      <c r="C97" t="s">
        <v>190</v>
      </c>
      <c r="D97" t="s">
        <v>190</v>
      </c>
      <c r="E97" t="s">
        <v>191</v>
      </c>
      <c r="F97" t="s">
        <v>183</v>
      </c>
      <c r="G97">
        <v>41845.800000000003</v>
      </c>
      <c r="H97" t="s">
        <v>1232</v>
      </c>
      <c r="I97" t="s">
        <v>1236</v>
      </c>
      <c r="J97">
        <v>1727</v>
      </c>
      <c r="K97" t="s">
        <v>1285</v>
      </c>
      <c r="L97" s="1">
        <v>45</v>
      </c>
      <c r="M97" s="1">
        <f t="shared" si="4"/>
        <v>46</v>
      </c>
      <c r="N97" s="1">
        <v>91</v>
      </c>
    </row>
    <row r="98" spans="1:14" x14ac:dyDescent="0.3">
      <c r="A98" t="s">
        <v>907</v>
      </c>
      <c r="B98" t="s">
        <v>907</v>
      </c>
      <c r="C98" t="s">
        <v>192</v>
      </c>
      <c r="D98" t="s">
        <v>192</v>
      </c>
      <c r="E98" t="s">
        <v>1373</v>
      </c>
      <c r="F98" t="s">
        <v>183</v>
      </c>
      <c r="G98">
        <v>17953.7</v>
      </c>
      <c r="H98" t="s">
        <v>1232</v>
      </c>
      <c r="I98" t="s">
        <v>1236</v>
      </c>
      <c r="J98">
        <v>4649</v>
      </c>
      <c r="K98" t="s">
        <v>1285</v>
      </c>
      <c r="L98" s="1">
        <v>45</v>
      </c>
      <c r="M98" s="1">
        <f t="shared" si="4"/>
        <v>195</v>
      </c>
      <c r="N98" s="1">
        <v>240</v>
      </c>
    </row>
    <row r="99" spans="1:14" x14ac:dyDescent="0.3">
      <c r="A99" t="s">
        <v>908</v>
      </c>
      <c r="B99" t="s">
        <v>908</v>
      </c>
      <c r="C99" t="s">
        <v>193</v>
      </c>
      <c r="D99" t="s">
        <v>193</v>
      </c>
      <c r="E99" t="s">
        <v>194</v>
      </c>
      <c r="F99" t="s">
        <v>183</v>
      </c>
      <c r="G99">
        <v>1444.09</v>
      </c>
      <c r="H99" t="s">
        <v>1231</v>
      </c>
      <c r="I99" t="s">
        <v>1332</v>
      </c>
      <c r="J99">
        <v>72215</v>
      </c>
      <c r="K99" t="s">
        <v>1280</v>
      </c>
      <c r="L99" s="1">
        <v>45</v>
      </c>
      <c r="M99" s="1">
        <f t="shared" si="4"/>
        <v>42</v>
      </c>
      <c r="N99" s="1">
        <v>87</v>
      </c>
    </row>
    <row r="100" spans="1:14" x14ac:dyDescent="0.3">
      <c r="A100" t="s">
        <v>909</v>
      </c>
      <c r="B100" t="s">
        <v>909</v>
      </c>
      <c r="C100" t="s">
        <v>195</v>
      </c>
      <c r="D100" t="s">
        <v>195</v>
      </c>
      <c r="E100" t="s">
        <v>196</v>
      </c>
      <c r="F100" t="s">
        <v>183</v>
      </c>
      <c r="G100">
        <v>8910</v>
      </c>
      <c r="H100" t="s">
        <v>1231</v>
      </c>
      <c r="I100" t="s">
        <v>1332</v>
      </c>
      <c r="J100">
        <v>12088</v>
      </c>
      <c r="K100" t="s">
        <v>1280</v>
      </c>
      <c r="L100" s="1">
        <v>45</v>
      </c>
      <c r="M100" s="1">
        <f t="shared" si="4"/>
        <v>21</v>
      </c>
      <c r="N100" s="1">
        <v>66</v>
      </c>
    </row>
    <row r="101" spans="1:14" x14ac:dyDescent="0.3">
      <c r="A101" t="s">
        <v>910</v>
      </c>
      <c r="B101" t="s">
        <v>910</v>
      </c>
      <c r="C101" t="s">
        <v>197</v>
      </c>
      <c r="D101" t="s">
        <v>197</v>
      </c>
      <c r="E101" t="s">
        <v>198</v>
      </c>
      <c r="F101" t="s">
        <v>183</v>
      </c>
      <c r="G101">
        <v>1444.09</v>
      </c>
      <c r="H101" t="s">
        <v>1231</v>
      </c>
      <c r="I101" t="s">
        <v>1333</v>
      </c>
      <c r="J101">
        <v>75000</v>
      </c>
      <c r="K101" t="s">
        <v>1280</v>
      </c>
      <c r="L101" s="1">
        <v>0</v>
      </c>
      <c r="M101" s="1">
        <v>0</v>
      </c>
      <c r="N101" s="1">
        <v>0</v>
      </c>
    </row>
    <row r="102" spans="1:14" x14ac:dyDescent="0.3">
      <c r="A102" t="s">
        <v>911</v>
      </c>
      <c r="B102" t="s">
        <v>911</v>
      </c>
      <c r="C102" t="s">
        <v>199</v>
      </c>
      <c r="D102" t="s">
        <v>199</v>
      </c>
      <c r="E102" t="s">
        <v>200</v>
      </c>
      <c r="F102" t="s">
        <v>183</v>
      </c>
      <c r="G102">
        <v>8910</v>
      </c>
      <c r="H102" t="s">
        <v>1231</v>
      </c>
      <c r="I102" t="s">
        <v>1333</v>
      </c>
      <c r="J102">
        <v>12500</v>
      </c>
      <c r="K102" t="s">
        <v>1280</v>
      </c>
      <c r="L102" s="1">
        <v>0</v>
      </c>
      <c r="M102" s="1">
        <v>0</v>
      </c>
      <c r="N102" s="1">
        <v>0</v>
      </c>
    </row>
    <row r="103" spans="1:14" x14ac:dyDescent="0.3">
      <c r="A103" t="s">
        <v>912</v>
      </c>
      <c r="B103" t="s">
        <v>912</v>
      </c>
      <c r="C103" t="s">
        <v>201</v>
      </c>
      <c r="D103" t="s">
        <v>201</v>
      </c>
      <c r="E103" t="s">
        <v>202</v>
      </c>
      <c r="F103" t="s">
        <v>183</v>
      </c>
      <c r="G103">
        <v>85753.8</v>
      </c>
      <c r="H103" t="s">
        <v>1231</v>
      </c>
      <c r="I103" t="s">
        <v>1332</v>
      </c>
      <c r="J103">
        <v>6495</v>
      </c>
      <c r="K103" t="s">
        <v>1281</v>
      </c>
      <c r="L103" s="1">
        <v>45</v>
      </c>
      <c r="M103" s="1">
        <f t="shared" ref="M103:M129" si="5">N103-L103</f>
        <v>20</v>
      </c>
      <c r="N103" s="1">
        <v>65</v>
      </c>
    </row>
    <row r="104" spans="1:14" x14ac:dyDescent="0.3">
      <c r="A104" t="s">
        <v>1343</v>
      </c>
      <c r="B104" t="s">
        <v>913</v>
      </c>
      <c r="C104" t="s">
        <v>1342</v>
      </c>
      <c r="D104" t="s">
        <v>203</v>
      </c>
      <c r="E104" t="s">
        <v>1347</v>
      </c>
      <c r="F104" t="s">
        <v>183</v>
      </c>
      <c r="G104">
        <v>85753.8</v>
      </c>
      <c r="H104" t="s">
        <v>1231</v>
      </c>
      <c r="I104" t="s">
        <v>1332</v>
      </c>
      <c r="J104">
        <v>1348</v>
      </c>
      <c r="K104" t="s">
        <v>1281</v>
      </c>
      <c r="L104" s="1">
        <v>45</v>
      </c>
      <c r="M104" s="1">
        <f t="shared" si="5"/>
        <v>40</v>
      </c>
      <c r="N104" s="1">
        <v>85</v>
      </c>
    </row>
    <row r="105" spans="1:14" x14ac:dyDescent="0.3">
      <c r="A105" t="s">
        <v>914</v>
      </c>
      <c r="B105" t="s">
        <v>1297</v>
      </c>
      <c r="C105" t="s">
        <v>204</v>
      </c>
      <c r="D105" t="s">
        <v>1243</v>
      </c>
      <c r="E105" t="s">
        <v>1374</v>
      </c>
      <c r="F105" t="s">
        <v>183</v>
      </c>
      <c r="G105">
        <v>131769</v>
      </c>
      <c r="H105" t="s">
        <v>1231</v>
      </c>
      <c r="I105" t="s">
        <v>1332</v>
      </c>
      <c r="J105">
        <v>1262</v>
      </c>
      <c r="K105" t="s">
        <v>1285</v>
      </c>
      <c r="L105" s="1">
        <v>45</v>
      </c>
      <c r="M105" s="1">
        <f t="shared" si="5"/>
        <v>20</v>
      </c>
      <c r="N105" s="1">
        <v>65</v>
      </c>
    </row>
    <row r="106" spans="1:14" x14ac:dyDescent="0.3">
      <c r="A106" t="s">
        <v>915</v>
      </c>
      <c r="B106" t="s">
        <v>1298</v>
      </c>
      <c r="C106" t="s">
        <v>205</v>
      </c>
      <c r="D106" t="s">
        <v>1244</v>
      </c>
      <c r="E106" t="s">
        <v>206</v>
      </c>
      <c r="F106" t="s">
        <v>183</v>
      </c>
      <c r="G106">
        <v>74804</v>
      </c>
      <c r="H106" t="s">
        <v>1231</v>
      </c>
      <c r="I106" t="s">
        <v>1332</v>
      </c>
      <c r="J106">
        <v>1171</v>
      </c>
      <c r="K106" t="s">
        <v>1281</v>
      </c>
      <c r="L106" s="1">
        <v>45</v>
      </c>
      <c r="M106" s="1">
        <f t="shared" si="5"/>
        <v>74</v>
      </c>
      <c r="N106" s="1">
        <v>119</v>
      </c>
    </row>
    <row r="107" spans="1:14" x14ac:dyDescent="0.3">
      <c r="A107" t="s">
        <v>916</v>
      </c>
      <c r="B107" t="s">
        <v>1299</v>
      </c>
      <c r="C107" t="s">
        <v>207</v>
      </c>
      <c r="D107" t="s">
        <v>1245</v>
      </c>
      <c r="E107" t="s">
        <v>208</v>
      </c>
      <c r="F107" t="s">
        <v>183</v>
      </c>
      <c r="G107">
        <v>131769</v>
      </c>
      <c r="H107" t="s">
        <v>1231</v>
      </c>
      <c r="I107" t="s">
        <v>1332</v>
      </c>
      <c r="J107">
        <v>1511</v>
      </c>
      <c r="K107" t="s">
        <v>1281</v>
      </c>
      <c r="L107" s="1">
        <v>45</v>
      </c>
      <c r="M107" s="1">
        <f t="shared" si="5"/>
        <v>29</v>
      </c>
      <c r="N107" s="1">
        <v>74</v>
      </c>
    </row>
    <row r="108" spans="1:14" x14ac:dyDescent="0.3">
      <c r="A108" t="s">
        <v>917</v>
      </c>
      <c r="B108" t="s">
        <v>1300</v>
      </c>
      <c r="C108" t="s">
        <v>209</v>
      </c>
      <c r="D108" t="s">
        <v>1246</v>
      </c>
      <c r="E108" t="s">
        <v>210</v>
      </c>
      <c r="F108" t="s">
        <v>183</v>
      </c>
      <c r="G108">
        <v>158730</v>
      </c>
      <c r="H108" t="s">
        <v>1231</v>
      </c>
      <c r="I108" t="s">
        <v>1332</v>
      </c>
      <c r="J108">
        <v>1324</v>
      </c>
      <c r="K108" t="s">
        <v>1281</v>
      </c>
      <c r="L108" s="1">
        <v>45</v>
      </c>
      <c r="M108" s="1">
        <f t="shared" si="5"/>
        <v>156</v>
      </c>
      <c r="N108" s="1">
        <v>201</v>
      </c>
    </row>
    <row r="109" spans="1:14" x14ac:dyDescent="0.3">
      <c r="A109" t="s">
        <v>918</v>
      </c>
      <c r="B109" t="s">
        <v>1301</v>
      </c>
      <c r="C109" t="s">
        <v>211</v>
      </c>
      <c r="D109" t="s">
        <v>1247</v>
      </c>
      <c r="E109" t="s">
        <v>212</v>
      </c>
      <c r="F109" t="s">
        <v>183</v>
      </c>
      <c r="G109">
        <v>121878</v>
      </c>
      <c r="H109" t="s">
        <v>1231</v>
      </c>
      <c r="I109" t="s">
        <v>1332</v>
      </c>
      <c r="J109">
        <v>2014</v>
      </c>
      <c r="K109" t="s">
        <v>1281</v>
      </c>
      <c r="L109" s="1">
        <v>45</v>
      </c>
      <c r="M109" s="1">
        <f t="shared" si="5"/>
        <v>159</v>
      </c>
      <c r="N109" s="1">
        <v>204</v>
      </c>
    </row>
    <row r="110" spans="1:14" x14ac:dyDescent="0.3">
      <c r="A110" t="s">
        <v>919</v>
      </c>
      <c r="B110" t="s">
        <v>919</v>
      </c>
      <c r="C110" t="s">
        <v>213</v>
      </c>
      <c r="D110" t="s">
        <v>213</v>
      </c>
      <c r="E110" t="s">
        <v>214</v>
      </c>
      <c r="F110" t="s">
        <v>183</v>
      </c>
      <c r="G110">
        <v>74804.399999999994</v>
      </c>
      <c r="H110" t="s">
        <v>1231</v>
      </c>
      <c r="I110" t="s">
        <v>1332</v>
      </c>
      <c r="J110">
        <v>1669</v>
      </c>
      <c r="K110" t="s">
        <v>1281</v>
      </c>
      <c r="L110" s="1">
        <v>45</v>
      </c>
      <c r="M110" s="1">
        <f t="shared" si="5"/>
        <v>38</v>
      </c>
      <c r="N110" s="1">
        <v>83</v>
      </c>
    </row>
    <row r="111" spans="1:14" x14ac:dyDescent="0.3">
      <c r="A111" t="s">
        <v>920</v>
      </c>
      <c r="B111" t="s">
        <v>920</v>
      </c>
      <c r="C111" t="s">
        <v>215</v>
      </c>
      <c r="D111" t="s">
        <v>215</v>
      </c>
      <c r="E111" t="s">
        <v>216</v>
      </c>
      <c r="F111" t="s">
        <v>183</v>
      </c>
      <c r="G111">
        <v>74804.399999999994</v>
      </c>
      <c r="H111" t="s">
        <v>1231</v>
      </c>
      <c r="I111" t="s">
        <v>1332</v>
      </c>
      <c r="J111">
        <v>1695</v>
      </c>
      <c r="K111" t="s">
        <v>1281</v>
      </c>
      <c r="L111" s="1">
        <v>45</v>
      </c>
      <c r="M111" s="1">
        <f t="shared" si="5"/>
        <v>17</v>
      </c>
      <c r="N111" s="1">
        <v>62</v>
      </c>
    </row>
    <row r="112" spans="1:14" x14ac:dyDescent="0.3">
      <c r="A112" t="s">
        <v>921</v>
      </c>
      <c r="B112" t="s">
        <v>921</v>
      </c>
      <c r="C112" t="s">
        <v>217</v>
      </c>
      <c r="D112" t="s">
        <v>217</v>
      </c>
      <c r="E112" t="s">
        <v>218</v>
      </c>
      <c r="F112" t="s">
        <v>183</v>
      </c>
      <c r="G112">
        <v>105783</v>
      </c>
      <c r="H112" t="s">
        <v>1231</v>
      </c>
      <c r="I112" t="s">
        <v>1332</v>
      </c>
      <c r="J112">
        <v>1311</v>
      </c>
      <c r="K112" t="s">
        <v>1281</v>
      </c>
      <c r="L112" s="1">
        <v>45</v>
      </c>
      <c r="M112" s="1">
        <f t="shared" si="5"/>
        <v>67</v>
      </c>
      <c r="N112" s="1">
        <v>112</v>
      </c>
    </row>
    <row r="113" spans="1:14" x14ac:dyDescent="0.3">
      <c r="A113" t="s">
        <v>922</v>
      </c>
      <c r="B113" t="s">
        <v>922</v>
      </c>
      <c r="C113" t="s">
        <v>219</v>
      </c>
      <c r="D113" t="s">
        <v>219</v>
      </c>
      <c r="E113" t="s">
        <v>220</v>
      </c>
      <c r="F113" t="s">
        <v>183</v>
      </c>
      <c r="G113">
        <v>174270</v>
      </c>
      <c r="H113" t="s">
        <v>1231</v>
      </c>
      <c r="I113" t="s">
        <v>1332</v>
      </c>
      <c r="J113">
        <v>1472</v>
      </c>
      <c r="K113" t="s">
        <v>1285</v>
      </c>
      <c r="L113" s="1">
        <v>45</v>
      </c>
      <c r="M113" s="1">
        <f t="shared" si="5"/>
        <v>125</v>
      </c>
      <c r="N113" s="1">
        <v>170</v>
      </c>
    </row>
    <row r="114" spans="1:14" x14ac:dyDescent="0.3">
      <c r="A114" t="s">
        <v>923</v>
      </c>
      <c r="B114" t="s">
        <v>1302</v>
      </c>
      <c r="C114" t="s">
        <v>221</v>
      </c>
      <c r="D114" t="s">
        <v>1248</v>
      </c>
      <c r="E114" t="s">
        <v>222</v>
      </c>
      <c r="F114" t="s">
        <v>183</v>
      </c>
      <c r="G114">
        <v>83871.600000000006</v>
      </c>
      <c r="H114" t="s">
        <v>1231</v>
      </c>
      <c r="I114" t="s">
        <v>1332</v>
      </c>
      <c r="J114">
        <v>1375</v>
      </c>
      <c r="K114" t="s">
        <v>1281</v>
      </c>
      <c r="L114" s="1">
        <v>45</v>
      </c>
      <c r="M114" s="1">
        <f t="shared" si="5"/>
        <v>127</v>
      </c>
      <c r="N114" s="1">
        <v>172</v>
      </c>
    </row>
    <row r="115" spans="1:14" x14ac:dyDescent="0.3">
      <c r="A115" t="s">
        <v>1404</v>
      </c>
      <c r="B115" t="s">
        <v>924</v>
      </c>
      <c r="C115" t="s">
        <v>1402</v>
      </c>
      <c r="D115" t="s">
        <v>223</v>
      </c>
      <c r="E115" t="s">
        <v>1403</v>
      </c>
      <c r="F115" t="s">
        <v>183</v>
      </c>
      <c r="G115">
        <v>35867.699999999997</v>
      </c>
      <c r="H115" t="s">
        <v>1231</v>
      </c>
      <c r="I115" t="s">
        <v>1332</v>
      </c>
      <c r="J115">
        <v>4896</v>
      </c>
      <c r="K115" t="s">
        <v>1280</v>
      </c>
      <c r="L115" s="1">
        <v>45</v>
      </c>
      <c r="M115" s="1">
        <f t="shared" si="5"/>
        <v>18</v>
      </c>
      <c r="N115" s="1">
        <v>63</v>
      </c>
    </row>
    <row r="116" spans="1:14" x14ac:dyDescent="0.3">
      <c r="A116" t="s">
        <v>925</v>
      </c>
      <c r="B116" t="s">
        <v>925</v>
      </c>
      <c r="C116" t="s">
        <v>224</v>
      </c>
      <c r="D116" t="s">
        <v>224</v>
      </c>
      <c r="E116" t="s">
        <v>225</v>
      </c>
      <c r="F116" t="s">
        <v>183</v>
      </c>
      <c r="G116">
        <v>113582.7</v>
      </c>
      <c r="H116" t="s">
        <v>1231</v>
      </c>
      <c r="I116" t="s">
        <v>1332</v>
      </c>
      <c r="J116">
        <v>1476</v>
      </c>
      <c r="K116" t="s">
        <v>1280</v>
      </c>
      <c r="L116" s="1">
        <v>45</v>
      </c>
      <c r="M116" s="1">
        <f t="shared" si="5"/>
        <v>17</v>
      </c>
      <c r="N116" s="1">
        <v>62</v>
      </c>
    </row>
    <row r="117" spans="1:14" x14ac:dyDescent="0.3">
      <c r="A117" t="s">
        <v>926</v>
      </c>
      <c r="B117" t="s">
        <v>1303</v>
      </c>
      <c r="C117" t="s">
        <v>226</v>
      </c>
      <c r="D117" t="s">
        <v>1249</v>
      </c>
      <c r="E117" t="s">
        <v>227</v>
      </c>
      <c r="F117" t="s">
        <v>183</v>
      </c>
      <c r="G117">
        <v>83871.600000000006</v>
      </c>
      <c r="H117" t="s">
        <v>1231</v>
      </c>
      <c r="I117" t="s">
        <v>1332</v>
      </c>
      <c r="J117">
        <v>2257</v>
      </c>
      <c r="K117" t="s">
        <v>1285</v>
      </c>
      <c r="L117" s="1">
        <v>45</v>
      </c>
      <c r="M117" s="1">
        <f t="shared" si="5"/>
        <v>26</v>
      </c>
      <c r="N117" s="1">
        <v>71</v>
      </c>
    </row>
    <row r="118" spans="1:14" x14ac:dyDescent="0.3">
      <c r="A118" t="s">
        <v>927</v>
      </c>
      <c r="B118" t="s">
        <v>1304</v>
      </c>
      <c r="C118" t="s">
        <v>228</v>
      </c>
      <c r="D118" t="s">
        <v>1250</v>
      </c>
      <c r="E118" t="s">
        <v>229</v>
      </c>
      <c r="F118" t="s">
        <v>183</v>
      </c>
      <c r="G118">
        <v>121878</v>
      </c>
      <c r="H118" t="s">
        <v>1231</v>
      </c>
      <c r="I118" t="s">
        <v>1332</v>
      </c>
      <c r="J118">
        <v>1684</v>
      </c>
      <c r="K118" t="s">
        <v>1281</v>
      </c>
      <c r="L118" s="1">
        <v>45</v>
      </c>
      <c r="M118" s="1">
        <f t="shared" si="5"/>
        <v>93</v>
      </c>
      <c r="N118" s="1">
        <v>138</v>
      </c>
    </row>
    <row r="119" spans="1:14" x14ac:dyDescent="0.3">
      <c r="A119" t="s">
        <v>928</v>
      </c>
      <c r="B119" t="s">
        <v>928</v>
      </c>
      <c r="C119" t="s">
        <v>230</v>
      </c>
      <c r="D119" t="s">
        <v>230</v>
      </c>
      <c r="E119" t="s">
        <v>231</v>
      </c>
      <c r="F119" t="s">
        <v>183</v>
      </c>
      <c r="G119">
        <v>134310</v>
      </c>
      <c r="H119" t="s">
        <v>1231</v>
      </c>
      <c r="I119" t="s">
        <v>1332</v>
      </c>
      <c r="J119">
        <v>1673</v>
      </c>
      <c r="K119" t="s">
        <v>1285</v>
      </c>
      <c r="L119" s="1">
        <v>45</v>
      </c>
      <c r="M119" s="1">
        <f t="shared" si="5"/>
        <v>152</v>
      </c>
      <c r="N119" s="1">
        <v>197</v>
      </c>
    </row>
    <row r="120" spans="1:14" x14ac:dyDescent="0.3">
      <c r="A120" t="s">
        <v>929</v>
      </c>
      <c r="B120" t="s">
        <v>1305</v>
      </c>
      <c r="C120" t="s">
        <v>232</v>
      </c>
      <c r="D120" t="s">
        <v>1251</v>
      </c>
      <c r="E120" t="s">
        <v>233</v>
      </c>
      <c r="F120" t="s">
        <v>183</v>
      </c>
      <c r="G120">
        <v>105783</v>
      </c>
      <c r="H120" t="s">
        <v>1231</v>
      </c>
      <c r="I120" t="s">
        <v>1332</v>
      </c>
      <c r="J120">
        <v>1291</v>
      </c>
      <c r="K120" t="s">
        <v>1281</v>
      </c>
      <c r="L120" s="1">
        <v>45</v>
      </c>
      <c r="M120" s="1">
        <f t="shared" si="5"/>
        <v>205</v>
      </c>
      <c r="N120" s="1">
        <v>250</v>
      </c>
    </row>
    <row r="121" spans="1:14" x14ac:dyDescent="0.3">
      <c r="A121" t="s">
        <v>1344</v>
      </c>
      <c r="B121" t="s">
        <v>930</v>
      </c>
      <c r="C121" t="s">
        <v>1345</v>
      </c>
      <c r="D121" t="s">
        <v>234</v>
      </c>
      <c r="E121" t="s">
        <v>1346</v>
      </c>
      <c r="F121" t="s">
        <v>183</v>
      </c>
      <c r="G121">
        <v>128700</v>
      </c>
      <c r="H121" t="s">
        <v>1231</v>
      </c>
      <c r="I121" t="s">
        <v>1332</v>
      </c>
      <c r="J121">
        <v>1612</v>
      </c>
      <c r="K121" t="s">
        <v>1285</v>
      </c>
      <c r="L121" s="1">
        <v>45</v>
      </c>
      <c r="M121" s="1">
        <f t="shared" si="5"/>
        <v>27</v>
      </c>
      <c r="N121" s="1">
        <v>72</v>
      </c>
    </row>
    <row r="122" spans="1:14" x14ac:dyDescent="0.3">
      <c r="A122" t="s">
        <v>1335</v>
      </c>
      <c r="B122" t="s">
        <v>1397</v>
      </c>
      <c r="C122" t="s">
        <v>1334</v>
      </c>
      <c r="D122" t="s">
        <v>235</v>
      </c>
      <c r="E122" t="s">
        <v>1375</v>
      </c>
      <c r="F122" t="s">
        <v>183</v>
      </c>
      <c r="G122">
        <v>69913.8</v>
      </c>
      <c r="H122" t="s">
        <v>1231</v>
      </c>
      <c r="I122" t="s">
        <v>1332</v>
      </c>
      <c r="J122">
        <v>2253</v>
      </c>
      <c r="K122" t="s">
        <v>1285</v>
      </c>
      <c r="L122" s="1">
        <v>45</v>
      </c>
      <c r="M122" s="1">
        <f t="shared" si="5"/>
        <v>29</v>
      </c>
      <c r="N122" s="1">
        <v>74</v>
      </c>
    </row>
    <row r="123" spans="1:14" x14ac:dyDescent="0.3">
      <c r="A123" t="s">
        <v>931</v>
      </c>
      <c r="B123" t="s">
        <v>931</v>
      </c>
      <c r="C123" t="s">
        <v>236</v>
      </c>
      <c r="D123" t="s">
        <v>236</v>
      </c>
      <c r="E123" t="s">
        <v>237</v>
      </c>
      <c r="F123" t="s">
        <v>183</v>
      </c>
      <c r="G123">
        <v>444000</v>
      </c>
      <c r="H123" t="s">
        <v>1231</v>
      </c>
      <c r="I123" t="s">
        <v>1332</v>
      </c>
      <c r="J123">
        <v>2019</v>
      </c>
      <c r="K123" t="s">
        <v>1281</v>
      </c>
      <c r="L123" s="1">
        <v>45</v>
      </c>
      <c r="M123" s="1">
        <f t="shared" si="5"/>
        <v>108</v>
      </c>
      <c r="N123" s="1">
        <v>153</v>
      </c>
    </row>
    <row r="124" spans="1:14" x14ac:dyDescent="0.3">
      <c r="A124" t="s">
        <v>932</v>
      </c>
      <c r="B124" t="s">
        <v>932</v>
      </c>
      <c r="C124" t="s">
        <v>238</v>
      </c>
      <c r="D124" t="s">
        <v>238</v>
      </c>
      <c r="E124" t="s">
        <v>239</v>
      </c>
      <c r="F124" t="s">
        <v>183</v>
      </c>
      <c r="G124">
        <v>74804.399999999994</v>
      </c>
      <c r="H124" t="s">
        <v>1231</v>
      </c>
      <c r="I124" t="s">
        <v>1332</v>
      </c>
      <c r="J124">
        <v>26177</v>
      </c>
      <c r="K124" t="s">
        <v>1281</v>
      </c>
      <c r="L124" s="1">
        <v>45</v>
      </c>
      <c r="M124" s="1">
        <f t="shared" si="5"/>
        <v>244</v>
      </c>
      <c r="N124" s="1">
        <v>289</v>
      </c>
    </row>
    <row r="125" spans="1:14" x14ac:dyDescent="0.3">
      <c r="A125" t="s">
        <v>933</v>
      </c>
      <c r="B125" t="s">
        <v>1306</v>
      </c>
      <c r="C125" t="s">
        <v>240</v>
      </c>
      <c r="D125" t="s">
        <v>1252</v>
      </c>
      <c r="E125" t="s">
        <v>241</v>
      </c>
      <c r="F125" t="s">
        <v>183</v>
      </c>
      <c r="G125">
        <v>121878</v>
      </c>
      <c r="H125" t="s">
        <v>1231</v>
      </c>
      <c r="I125" t="s">
        <v>1332</v>
      </c>
      <c r="J125">
        <v>1287</v>
      </c>
      <c r="K125" t="s">
        <v>1281</v>
      </c>
      <c r="L125" s="1">
        <v>45</v>
      </c>
      <c r="M125" s="1">
        <f t="shared" si="5"/>
        <v>43</v>
      </c>
      <c r="N125" s="1">
        <v>88</v>
      </c>
    </row>
    <row r="126" spans="1:14" x14ac:dyDescent="0.3">
      <c r="A126" t="s">
        <v>934</v>
      </c>
      <c r="B126" t="s">
        <v>1307</v>
      </c>
      <c r="C126" t="s">
        <v>242</v>
      </c>
      <c r="D126" t="s">
        <v>1253</v>
      </c>
      <c r="E126" t="s">
        <v>1376</v>
      </c>
      <c r="F126" t="s">
        <v>183</v>
      </c>
      <c r="G126">
        <v>79180.2</v>
      </c>
      <c r="H126" t="s">
        <v>1231</v>
      </c>
      <c r="I126" t="s">
        <v>1332</v>
      </c>
      <c r="J126">
        <v>3333</v>
      </c>
      <c r="K126" t="s">
        <v>1285</v>
      </c>
      <c r="L126" s="1">
        <v>45</v>
      </c>
      <c r="M126" s="1">
        <f t="shared" si="5"/>
        <v>51</v>
      </c>
      <c r="N126" s="1">
        <v>96</v>
      </c>
    </row>
    <row r="127" spans="1:14" x14ac:dyDescent="0.3">
      <c r="A127" t="s">
        <v>935</v>
      </c>
      <c r="B127" t="s">
        <v>1308</v>
      </c>
      <c r="C127" t="s">
        <v>243</v>
      </c>
      <c r="D127" t="s">
        <v>1254</v>
      </c>
      <c r="E127" t="s">
        <v>244</v>
      </c>
      <c r="F127" t="s">
        <v>183</v>
      </c>
      <c r="G127">
        <v>134310</v>
      </c>
      <c r="H127" t="s">
        <v>1231</v>
      </c>
      <c r="I127" t="s">
        <v>1332</v>
      </c>
      <c r="J127">
        <v>1239</v>
      </c>
      <c r="K127" t="s">
        <v>1281</v>
      </c>
      <c r="L127" s="1">
        <v>45</v>
      </c>
      <c r="M127" s="1">
        <f t="shared" si="5"/>
        <v>199</v>
      </c>
      <c r="N127" s="1">
        <v>244</v>
      </c>
    </row>
    <row r="128" spans="1:14" x14ac:dyDescent="0.3">
      <c r="A128" t="s">
        <v>936</v>
      </c>
      <c r="B128" t="s">
        <v>1309</v>
      </c>
      <c r="C128" t="s">
        <v>245</v>
      </c>
      <c r="D128" t="s">
        <v>1255</v>
      </c>
      <c r="E128" t="s">
        <v>246</v>
      </c>
      <c r="F128" t="s">
        <v>183</v>
      </c>
      <c r="G128">
        <v>144300</v>
      </c>
      <c r="H128" t="s">
        <v>1231</v>
      </c>
      <c r="I128" t="s">
        <v>1332</v>
      </c>
      <c r="J128">
        <v>1369</v>
      </c>
      <c r="K128" t="s">
        <v>1281</v>
      </c>
      <c r="L128" s="1">
        <v>45</v>
      </c>
      <c r="M128" s="1">
        <f t="shared" si="5"/>
        <v>316</v>
      </c>
      <c r="N128" s="1">
        <v>361</v>
      </c>
    </row>
    <row r="129" spans="1:14" x14ac:dyDescent="0.3">
      <c r="A129" t="s">
        <v>937</v>
      </c>
      <c r="B129" t="s">
        <v>937</v>
      </c>
      <c r="C129" t="s">
        <v>247</v>
      </c>
      <c r="D129" t="s">
        <v>247</v>
      </c>
      <c r="E129" t="s">
        <v>248</v>
      </c>
      <c r="F129" t="s">
        <v>183</v>
      </c>
      <c r="G129">
        <v>241980</v>
      </c>
      <c r="H129" t="s">
        <v>1231</v>
      </c>
      <c r="I129" t="s">
        <v>1332</v>
      </c>
      <c r="J129">
        <v>1925</v>
      </c>
      <c r="K129" t="s">
        <v>1281</v>
      </c>
      <c r="L129" s="1">
        <v>45</v>
      </c>
      <c r="M129" s="1">
        <f t="shared" si="5"/>
        <v>1337</v>
      </c>
      <c r="N129" s="1">
        <v>1382</v>
      </c>
    </row>
    <row r="130" spans="1:14" x14ac:dyDescent="0.3">
      <c r="A130" t="s">
        <v>938</v>
      </c>
      <c r="B130" t="s">
        <v>1310</v>
      </c>
      <c r="C130" t="s">
        <v>249</v>
      </c>
      <c r="D130" t="s">
        <v>1256</v>
      </c>
      <c r="E130" t="s">
        <v>250</v>
      </c>
      <c r="F130" t="s">
        <v>183</v>
      </c>
      <c r="G130">
        <v>147741</v>
      </c>
      <c r="H130" t="s">
        <v>1231</v>
      </c>
      <c r="I130" t="s">
        <v>1333</v>
      </c>
      <c r="J130">
        <v>2838</v>
      </c>
      <c r="K130" t="s">
        <v>1281</v>
      </c>
      <c r="L130" s="1">
        <v>0</v>
      </c>
      <c r="M130" s="1">
        <v>0</v>
      </c>
      <c r="N130" s="1">
        <v>0</v>
      </c>
    </row>
    <row r="131" spans="1:14" x14ac:dyDescent="0.3">
      <c r="A131" t="s">
        <v>939</v>
      </c>
      <c r="B131" t="s">
        <v>939</v>
      </c>
      <c r="C131" t="s">
        <v>251</v>
      </c>
      <c r="D131" t="s">
        <v>251</v>
      </c>
      <c r="E131" t="s">
        <v>252</v>
      </c>
      <c r="F131" t="s">
        <v>183</v>
      </c>
      <c r="G131">
        <v>74804.399999999994</v>
      </c>
      <c r="H131" t="s">
        <v>1231</v>
      </c>
      <c r="I131" t="s">
        <v>1332</v>
      </c>
      <c r="J131">
        <v>1701</v>
      </c>
      <c r="K131" t="s">
        <v>1281</v>
      </c>
      <c r="L131" s="1">
        <v>45</v>
      </c>
      <c r="M131" s="1">
        <f t="shared" ref="M131:M137" si="6">N131-L131</f>
        <v>17</v>
      </c>
      <c r="N131" s="1">
        <v>62</v>
      </c>
    </row>
    <row r="132" spans="1:14" x14ac:dyDescent="0.3">
      <c r="A132" t="s">
        <v>940</v>
      </c>
      <c r="B132" t="s">
        <v>1311</v>
      </c>
      <c r="C132" t="s">
        <v>253</v>
      </c>
      <c r="D132" t="s">
        <v>1257</v>
      </c>
      <c r="E132" t="s">
        <v>254</v>
      </c>
      <c r="F132" t="s">
        <v>183</v>
      </c>
      <c r="G132">
        <v>121878</v>
      </c>
      <c r="H132" t="s">
        <v>1231</v>
      </c>
      <c r="I132" t="s">
        <v>1332</v>
      </c>
      <c r="J132">
        <v>1523</v>
      </c>
      <c r="K132" t="s">
        <v>1281</v>
      </c>
      <c r="L132" s="1">
        <v>45</v>
      </c>
      <c r="M132" s="1">
        <f t="shared" si="6"/>
        <v>122</v>
      </c>
      <c r="N132" s="1">
        <v>167</v>
      </c>
    </row>
    <row r="133" spans="1:14" x14ac:dyDescent="0.3">
      <c r="A133" t="s">
        <v>941</v>
      </c>
      <c r="B133" t="s">
        <v>941</v>
      </c>
      <c r="C133" t="s">
        <v>255</v>
      </c>
      <c r="D133" t="s">
        <v>255</v>
      </c>
      <c r="E133" t="s">
        <v>256</v>
      </c>
      <c r="F133" t="s">
        <v>183</v>
      </c>
      <c r="G133">
        <v>128700</v>
      </c>
      <c r="H133" t="s">
        <v>1231</v>
      </c>
      <c r="I133" t="s">
        <v>1332</v>
      </c>
      <c r="J133">
        <v>1269</v>
      </c>
      <c r="K133" t="s">
        <v>1285</v>
      </c>
      <c r="L133" s="1">
        <v>45</v>
      </c>
      <c r="M133" s="1">
        <f t="shared" si="6"/>
        <v>20</v>
      </c>
      <c r="N133" s="1">
        <v>65</v>
      </c>
    </row>
    <row r="134" spans="1:14" x14ac:dyDescent="0.3">
      <c r="A134" t="s">
        <v>942</v>
      </c>
      <c r="B134" t="s">
        <v>1312</v>
      </c>
      <c r="C134" t="s">
        <v>257</v>
      </c>
      <c r="D134" t="s">
        <v>1258</v>
      </c>
      <c r="E134" t="s">
        <v>258</v>
      </c>
      <c r="F134" t="s">
        <v>183</v>
      </c>
      <c r="G134">
        <v>188700</v>
      </c>
      <c r="H134" t="s">
        <v>1231</v>
      </c>
      <c r="I134" t="s">
        <v>1332</v>
      </c>
      <c r="J134">
        <v>783</v>
      </c>
      <c r="K134" t="s">
        <v>1285</v>
      </c>
      <c r="L134" s="1">
        <v>45</v>
      </c>
      <c r="M134" s="1">
        <f t="shared" si="6"/>
        <v>22</v>
      </c>
      <c r="N134" s="1">
        <v>67</v>
      </c>
    </row>
    <row r="135" spans="1:14" x14ac:dyDescent="0.3">
      <c r="A135" t="s">
        <v>943</v>
      </c>
      <c r="B135" t="s">
        <v>1313</v>
      </c>
      <c r="C135" t="s">
        <v>259</v>
      </c>
      <c r="D135" t="s">
        <v>1259</v>
      </c>
      <c r="E135" t="s">
        <v>1377</v>
      </c>
      <c r="F135" t="s">
        <v>183</v>
      </c>
      <c r="G135">
        <v>30802.86</v>
      </c>
      <c r="H135" t="s">
        <v>1231</v>
      </c>
      <c r="I135" t="s">
        <v>1332</v>
      </c>
      <c r="J135">
        <v>7500</v>
      </c>
      <c r="K135" t="s">
        <v>1280</v>
      </c>
      <c r="L135" s="1">
        <v>45</v>
      </c>
      <c r="M135" s="1">
        <f t="shared" si="6"/>
        <v>225</v>
      </c>
      <c r="N135" s="1">
        <v>270</v>
      </c>
    </row>
    <row r="136" spans="1:14" x14ac:dyDescent="0.3">
      <c r="A136" t="s">
        <v>944</v>
      </c>
      <c r="B136" t="s">
        <v>1314</v>
      </c>
      <c r="C136" t="s">
        <v>260</v>
      </c>
      <c r="D136" t="s">
        <v>1260</v>
      </c>
      <c r="E136" t="s">
        <v>1378</v>
      </c>
      <c r="F136" t="s">
        <v>183</v>
      </c>
      <c r="G136">
        <v>30802.86</v>
      </c>
      <c r="H136" t="s">
        <v>1231</v>
      </c>
      <c r="I136" t="s">
        <v>1332</v>
      </c>
      <c r="J136">
        <v>7500</v>
      </c>
      <c r="K136" t="s">
        <v>1280</v>
      </c>
      <c r="L136" s="1">
        <v>45</v>
      </c>
      <c r="M136" s="1">
        <f t="shared" si="6"/>
        <v>39</v>
      </c>
      <c r="N136" s="1">
        <v>84</v>
      </c>
    </row>
    <row r="137" spans="1:14" x14ac:dyDescent="0.3">
      <c r="A137" t="s">
        <v>945</v>
      </c>
      <c r="B137" t="s">
        <v>1315</v>
      </c>
      <c r="C137" t="s">
        <v>261</v>
      </c>
      <c r="D137" t="s">
        <v>1261</v>
      </c>
      <c r="E137" t="s">
        <v>1379</v>
      </c>
      <c r="F137" t="s">
        <v>183</v>
      </c>
      <c r="G137">
        <v>32012.639999999999</v>
      </c>
      <c r="H137" t="s">
        <v>1231</v>
      </c>
      <c r="I137" t="s">
        <v>1332</v>
      </c>
      <c r="J137">
        <v>7500</v>
      </c>
      <c r="K137" t="s">
        <v>1280</v>
      </c>
      <c r="L137" s="1">
        <v>45</v>
      </c>
      <c r="M137" s="1">
        <f t="shared" si="6"/>
        <v>459</v>
      </c>
      <c r="N137" s="1">
        <v>504</v>
      </c>
    </row>
    <row r="138" spans="1:14" x14ac:dyDescent="0.3">
      <c r="A138" t="s">
        <v>946</v>
      </c>
      <c r="B138" t="s">
        <v>946</v>
      </c>
      <c r="C138" t="s">
        <v>262</v>
      </c>
      <c r="D138" t="s">
        <v>262</v>
      </c>
      <c r="E138" t="s">
        <v>263</v>
      </c>
      <c r="F138" t="s">
        <v>183</v>
      </c>
      <c r="G138">
        <v>2910.6</v>
      </c>
      <c r="H138" t="s">
        <v>1231</v>
      </c>
      <c r="I138" t="s">
        <v>1333</v>
      </c>
      <c r="J138">
        <v>14286</v>
      </c>
      <c r="K138" t="s">
        <v>1280</v>
      </c>
      <c r="L138" s="1">
        <v>0</v>
      </c>
      <c r="M138" s="1">
        <v>0</v>
      </c>
      <c r="N138" s="1">
        <v>0</v>
      </c>
    </row>
    <row r="139" spans="1:14" x14ac:dyDescent="0.3">
      <c r="A139" t="s">
        <v>947</v>
      </c>
      <c r="B139" t="s">
        <v>1316</v>
      </c>
      <c r="C139" t="s">
        <v>264</v>
      </c>
      <c r="D139" t="s">
        <v>1262</v>
      </c>
      <c r="E139" t="s">
        <v>1380</v>
      </c>
      <c r="F139" t="s">
        <v>183</v>
      </c>
      <c r="G139">
        <v>3080.29</v>
      </c>
      <c r="H139" t="s">
        <v>1231</v>
      </c>
      <c r="I139" t="s">
        <v>1332</v>
      </c>
      <c r="J139">
        <v>75000</v>
      </c>
      <c r="K139" t="s">
        <v>1280</v>
      </c>
      <c r="L139" s="1">
        <v>45</v>
      </c>
      <c r="M139" s="1">
        <f t="shared" ref="M139:M140" si="7">N139-L139</f>
        <v>84</v>
      </c>
      <c r="N139" s="1">
        <v>129</v>
      </c>
    </row>
    <row r="140" spans="1:14" x14ac:dyDescent="0.3">
      <c r="A140" t="s">
        <v>948</v>
      </c>
      <c r="B140" t="s">
        <v>1317</v>
      </c>
      <c r="C140" t="s">
        <v>265</v>
      </c>
      <c r="D140" t="s">
        <v>1263</v>
      </c>
      <c r="E140" t="s">
        <v>1381</v>
      </c>
      <c r="F140" t="s">
        <v>183</v>
      </c>
      <c r="G140">
        <v>3080.29</v>
      </c>
      <c r="H140" t="s">
        <v>1231</v>
      </c>
      <c r="I140" t="s">
        <v>1332</v>
      </c>
      <c r="J140">
        <v>75000</v>
      </c>
      <c r="K140" t="s">
        <v>1280</v>
      </c>
      <c r="L140" s="1">
        <v>45</v>
      </c>
      <c r="M140" s="1">
        <f t="shared" si="7"/>
        <v>193</v>
      </c>
      <c r="N140" s="1">
        <v>238</v>
      </c>
    </row>
    <row r="141" spans="1:14" x14ac:dyDescent="0.3">
      <c r="A141" t="s">
        <v>949</v>
      </c>
      <c r="B141" t="s">
        <v>949</v>
      </c>
      <c r="C141" t="s">
        <v>266</v>
      </c>
      <c r="D141" t="s">
        <v>266</v>
      </c>
      <c r="E141" t="s">
        <v>267</v>
      </c>
      <c r="F141" t="s">
        <v>183</v>
      </c>
      <c r="G141">
        <v>19447.2</v>
      </c>
      <c r="H141" t="s">
        <v>1232</v>
      </c>
      <c r="I141" t="s">
        <v>1333</v>
      </c>
      <c r="J141">
        <v>2750</v>
      </c>
      <c r="K141" t="s">
        <v>1281</v>
      </c>
      <c r="L141" s="1">
        <v>0</v>
      </c>
      <c r="M141" s="1">
        <v>0</v>
      </c>
      <c r="N141" s="1">
        <v>0</v>
      </c>
    </row>
    <row r="142" spans="1:14" x14ac:dyDescent="0.3">
      <c r="A142" t="s">
        <v>950</v>
      </c>
      <c r="B142" t="s">
        <v>950</v>
      </c>
      <c r="C142" t="s">
        <v>268</v>
      </c>
      <c r="D142" t="s">
        <v>268</v>
      </c>
      <c r="E142" t="s">
        <v>269</v>
      </c>
      <c r="F142" t="s">
        <v>183</v>
      </c>
      <c r="G142">
        <v>63231.3</v>
      </c>
      <c r="H142" t="s">
        <v>1231</v>
      </c>
      <c r="I142" t="s">
        <v>1332</v>
      </c>
      <c r="J142">
        <v>3286</v>
      </c>
      <c r="K142" t="s">
        <v>1280</v>
      </c>
      <c r="L142" s="1">
        <v>45</v>
      </c>
      <c r="M142" s="1">
        <f t="shared" ref="M142:M153" si="8">N142-L142</f>
        <v>15</v>
      </c>
      <c r="N142" s="1">
        <v>60</v>
      </c>
    </row>
    <row r="143" spans="1:14" x14ac:dyDescent="0.3">
      <c r="A143" t="s">
        <v>951</v>
      </c>
      <c r="B143" t="s">
        <v>951</v>
      </c>
      <c r="C143" t="s">
        <v>270</v>
      </c>
      <c r="D143" t="s">
        <v>270</v>
      </c>
      <c r="E143" t="s">
        <v>271</v>
      </c>
      <c r="F143" t="s">
        <v>183</v>
      </c>
      <c r="G143">
        <v>8910</v>
      </c>
      <c r="H143" t="s">
        <v>1231</v>
      </c>
      <c r="I143" t="s">
        <v>1332</v>
      </c>
      <c r="J143">
        <v>24586</v>
      </c>
      <c r="K143" t="s">
        <v>1280</v>
      </c>
      <c r="L143" s="1">
        <v>45</v>
      </c>
      <c r="M143" s="1">
        <f t="shared" si="8"/>
        <v>15</v>
      </c>
      <c r="N143" s="1">
        <v>60</v>
      </c>
    </row>
    <row r="144" spans="1:14" x14ac:dyDescent="0.3">
      <c r="A144" t="s">
        <v>952</v>
      </c>
      <c r="B144" t="s">
        <v>952</v>
      </c>
      <c r="C144" t="s">
        <v>272</v>
      </c>
      <c r="D144" t="s">
        <v>272</v>
      </c>
      <c r="E144" t="s">
        <v>273</v>
      </c>
      <c r="F144" t="s">
        <v>183</v>
      </c>
      <c r="G144">
        <v>72685.8</v>
      </c>
      <c r="H144" t="s">
        <v>1231</v>
      </c>
      <c r="I144" t="s">
        <v>1332</v>
      </c>
      <c r="J144">
        <v>6495</v>
      </c>
      <c r="K144" t="s">
        <v>1281</v>
      </c>
      <c r="L144" s="1">
        <v>45</v>
      </c>
      <c r="M144" s="1">
        <f t="shared" si="8"/>
        <v>15</v>
      </c>
      <c r="N144" s="1">
        <v>60</v>
      </c>
    </row>
    <row r="145" spans="1:14" x14ac:dyDescent="0.3">
      <c r="A145" t="s">
        <v>953</v>
      </c>
      <c r="B145" t="s">
        <v>953</v>
      </c>
      <c r="C145" t="s">
        <v>274</v>
      </c>
      <c r="D145" t="s">
        <v>274</v>
      </c>
      <c r="E145" t="s">
        <v>275</v>
      </c>
      <c r="F145" t="s">
        <v>183</v>
      </c>
      <c r="G145">
        <v>10266.299999999999</v>
      </c>
      <c r="H145" t="s">
        <v>1231</v>
      </c>
      <c r="I145" t="s">
        <v>1332</v>
      </c>
      <c r="J145">
        <v>49164</v>
      </c>
      <c r="K145" t="s">
        <v>1281</v>
      </c>
      <c r="L145" s="1">
        <v>45</v>
      </c>
      <c r="M145" s="1">
        <f t="shared" si="8"/>
        <v>15</v>
      </c>
      <c r="N145" s="1">
        <v>60</v>
      </c>
    </row>
    <row r="146" spans="1:14" x14ac:dyDescent="0.3">
      <c r="A146" t="s">
        <v>954</v>
      </c>
      <c r="B146" t="s">
        <v>954</v>
      </c>
      <c r="C146" t="s">
        <v>276</v>
      </c>
      <c r="D146" t="s">
        <v>276</v>
      </c>
      <c r="E146" t="s">
        <v>277</v>
      </c>
      <c r="F146" t="s">
        <v>183</v>
      </c>
      <c r="G146">
        <v>23958</v>
      </c>
      <c r="H146" t="s">
        <v>1232</v>
      </c>
      <c r="I146" t="s">
        <v>1236</v>
      </c>
      <c r="J146">
        <v>2058</v>
      </c>
      <c r="K146" t="s">
        <v>1280</v>
      </c>
      <c r="L146" s="1">
        <v>45</v>
      </c>
      <c r="M146" s="1">
        <f t="shared" si="8"/>
        <v>36</v>
      </c>
      <c r="N146" s="1">
        <v>81</v>
      </c>
    </row>
    <row r="147" spans="1:14" x14ac:dyDescent="0.3">
      <c r="A147" t="s">
        <v>955</v>
      </c>
      <c r="B147" t="s">
        <v>955</v>
      </c>
      <c r="C147" t="s">
        <v>278</v>
      </c>
      <c r="D147" t="s">
        <v>278</v>
      </c>
      <c r="E147" t="s">
        <v>279</v>
      </c>
      <c r="F147" t="s">
        <v>183</v>
      </c>
      <c r="G147">
        <v>23958</v>
      </c>
      <c r="H147" t="s">
        <v>1232</v>
      </c>
      <c r="I147" t="s">
        <v>1236</v>
      </c>
      <c r="J147">
        <v>2104</v>
      </c>
      <c r="K147" t="s">
        <v>1280</v>
      </c>
      <c r="L147" s="1">
        <v>45</v>
      </c>
      <c r="M147" s="1">
        <f t="shared" si="8"/>
        <v>20</v>
      </c>
      <c r="N147" s="1">
        <v>65</v>
      </c>
    </row>
    <row r="148" spans="1:14" x14ac:dyDescent="0.3">
      <c r="A148" t="s">
        <v>956</v>
      </c>
      <c r="B148" t="s">
        <v>956</v>
      </c>
      <c r="C148" t="s">
        <v>280</v>
      </c>
      <c r="D148" t="s">
        <v>280</v>
      </c>
      <c r="E148" t="s">
        <v>281</v>
      </c>
      <c r="F148" t="s">
        <v>282</v>
      </c>
      <c r="G148">
        <v>7880.4</v>
      </c>
      <c r="H148" t="s">
        <v>1231</v>
      </c>
      <c r="I148" t="s">
        <v>1332</v>
      </c>
      <c r="J148">
        <v>12556</v>
      </c>
      <c r="K148" t="s">
        <v>1285</v>
      </c>
      <c r="L148" s="1">
        <v>45</v>
      </c>
      <c r="M148" s="1">
        <f t="shared" si="8"/>
        <v>135</v>
      </c>
      <c r="N148" s="1">
        <v>180</v>
      </c>
    </row>
    <row r="149" spans="1:14" x14ac:dyDescent="0.3">
      <c r="A149" t="s">
        <v>957</v>
      </c>
      <c r="B149" t="s">
        <v>957</v>
      </c>
      <c r="C149" t="s">
        <v>283</v>
      </c>
      <c r="D149" t="s">
        <v>283</v>
      </c>
      <c r="E149" t="s">
        <v>1382</v>
      </c>
      <c r="F149" t="s">
        <v>282</v>
      </c>
      <c r="G149">
        <v>7880.4</v>
      </c>
      <c r="H149" t="s">
        <v>1231</v>
      </c>
      <c r="I149" t="s">
        <v>1332</v>
      </c>
      <c r="J149">
        <v>12664</v>
      </c>
      <c r="K149" t="s">
        <v>1285</v>
      </c>
      <c r="L149" s="1">
        <v>45</v>
      </c>
      <c r="M149" s="1">
        <f t="shared" si="8"/>
        <v>135</v>
      </c>
      <c r="N149" s="1">
        <v>180</v>
      </c>
    </row>
    <row r="150" spans="1:14" x14ac:dyDescent="0.3">
      <c r="A150" t="s">
        <v>958</v>
      </c>
      <c r="B150" t="s">
        <v>958</v>
      </c>
      <c r="C150" t="s">
        <v>284</v>
      </c>
      <c r="D150" t="s">
        <v>284</v>
      </c>
      <c r="E150" t="s">
        <v>285</v>
      </c>
      <c r="F150" t="s">
        <v>282</v>
      </c>
      <c r="G150">
        <v>13473.9</v>
      </c>
      <c r="H150" t="s">
        <v>1231</v>
      </c>
      <c r="I150" t="s">
        <v>1332</v>
      </c>
      <c r="J150">
        <v>4578</v>
      </c>
      <c r="K150" t="s">
        <v>1285</v>
      </c>
      <c r="L150" s="1">
        <v>45</v>
      </c>
      <c r="M150" s="1">
        <f t="shared" si="8"/>
        <v>135</v>
      </c>
      <c r="N150" s="1">
        <v>180</v>
      </c>
    </row>
    <row r="151" spans="1:14" x14ac:dyDescent="0.3">
      <c r="A151" t="s">
        <v>959</v>
      </c>
      <c r="B151" t="s">
        <v>959</v>
      </c>
      <c r="C151" t="s">
        <v>286</v>
      </c>
      <c r="D151" t="s">
        <v>286</v>
      </c>
      <c r="E151" t="s">
        <v>287</v>
      </c>
      <c r="F151" t="s">
        <v>282</v>
      </c>
      <c r="G151">
        <v>11235</v>
      </c>
      <c r="H151" t="s">
        <v>1231</v>
      </c>
      <c r="I151" t="s">
        <v>1332</v>
      </c>
      <c r="J151">
        <v>19259</v>
      </c>
      <c r="K151" t="s">
        <v>1279</v>
      </c>
      <c r="L151" s="1">
        <v>45</v>
      </c>
      <c r="M151" s="1">
        <f t="shared" si="8"/>
        <v>15</v>
      </c>
      <c r="N151" s="1">
        <v>60</v>
      </c>
    </row>
    <row r="152" spans="1:14" x14ac:dyDescent="0.3">
      <c r="A152" t="s">
        <v>960</v>
      </c>
      <c r="B152" t="s">
        <v>960</v>
      </c>
      <c r="C152" t="s">
        <v>288</v>
      </c>
      <c r="D152" t="s">
        <v>288</v>
      </c>
      <c r="E152" t="s">
        <v>289</v>
      </c>
      <c r="F152" t="s">
        <v>282</v>
      </c>
      <c r="G152">
        <v>20092.07</v>
      </c>
      <c r="H152" t="s">
        <v>1231</v>
      </c>
      <c r="I152" t="s">
        <v>1332</v>
      </c>
      <c r="J152">
        <v>9716</v>
      </c>
      <c r="K152" t="s">
        <v>1279</v>
      </c>
      <c r="L152" s="1">
        <v>45</v>
      </c>
      <c r="M152" s="1">
        <f t="shared" si="8"/>
        <v>15</v>
      </c>
      <c r="N152" s="1">
        <v>60</v>
      </c>
    </row>
    <row r="153" spans="1:14" x14ac:dyDescent="0.3">
      <c r="A153" t="s">
        <v>961</v>
      </c>
      <c r="B153" t="s">
        <v>961</v>
      </c>
      <c r="C153" t="s">
        <v>290</v>
      </c>
      <c r="D153" t="s">
        <v>290</v>
      </c>
      <c r="E153" t="s">
        <v>291</v>
      </c>
      <c r="F153" t="s">
        <v>282</v>
      </c>
      <c r="G153">
        <v>1650</v>
      </c>
      <c r="H153" t="s">
        <v>1231</v>
      </c>
      <c r="I153" t="s">
        <v>1332</v>
      </c>
      <c r="J153">
        <v>13166</v>
      </c>
      <c r="K153" t="s">
        <v>1281</v>
      </c>
      <c r="L153" s="1">
        <v>45</v>
      </c>
      <c r="M153" s="1">
        <f t="shared" si="8"/>
        <v>15</v>
      </c>
      <c r="N153" s="1">
        <v>60</v>
      </c>
    </row>
    <row r="154" spans="1:14" x14ac:dyDescent="0.3">
      <c r="A154" t="s">
        <v>962</v>
      </c>
      <c r="B154" t="s">
        <v>962</v>
      </c>
      <c r="C154" t="s">
        <v>292</v>
      </c>
      <c r="D154" t="s">
        <v>292</v>
      </c>
      <c r="E154" t="s">
        <v>293</v>
      </c>
      <c r="F154" t="s">
        <v>282</v>
      </c>
      <c r="G154">
        <v>1650</v>
      </c>
      <c r="H154" t="s">
        <v>1232</v>
      </c>
      <c r="I154" t="s">
        <v>1333</v>
      </c>
      <c r="J154">
        <v>13254</v>
      </c>
      <c r="K154" t="s">
        <v>1281</v>
      </c>
      <c r="L154" s="1">
        <v>0</v>
      </c>
      <c r="M154" s="1">
        <v>0</v>
      </c>
      <c r="N154" s="1">
        <v>0</v>
      </c>
    </row>
    <row r="155" spans="1:14" x14ac:dyDescent="0.3">
      <c r="A155" t="s">
        <v>963</v>
      </c>
      <c r="B155" t="s">
        <v>963</v>
      </c>
      <c r="C155" t="s">
        <v>294</v>
      </c>
      <c r="D155" t="s">
        <v>294</v>
      </c>
      <c r="E155" t="s">
        <v>295</v>
      </c>
      <c r="F155" t="s">
        <v>282</v>
      </c>
      <c r="G155">
        <v>1991</v>
      </c>
      <c r="H155" t="s">
        <v>1231</v>
      </c>
      <c r="I155" t="s">
        <v>1332</v>
      </c>
      <c r="J155">
        <v>98000</v>
      </c>
      <c r="K155" t="s">
        <v>1280</v>
      </c>
      <c r="L155" s="1">
        <v>45</v>
      </c>
      <c r="M155" s="1">
        <f t="shared" ref="M155:M156" si="9">N155-L155</f>
        <v>17</v>
      </c>
      <c r="N155" s="1">
        <v>62</v>
      </c>
    </row>
    <row r="156" spans="1:14" x14ac:dyDescent="0.3">
      <c r="A156" t="s">
        <v>964</v>
      </c>
      <c r="B156" t="s">
        <v>964</v>
      </c>
      <c r="C156" t="s">
        <v>296</v>
      </c>
      <c r="D156" t="s">
        <v>296</v>
      </c>
      <c r="E156" t="s">
        <v>297</v>
      </c>
      <c r="F156" t="s">
        <v>282</v>
      </c>
      <c r="G156">
        <v>1760.69</v>
      </c>
      <c r="H156" t="s">
        <v>1230</v>
      </c>
      <c r="I156" t="s">
        <v>1332</v>
      </c>
      <c r="J156">
        <v>141323</v>
      </c>
      <c r="K156" t="s">
        <v>1285</v>
      </c>
      <c r="L156" s="1">
        <v>45</v>
      </c>
      <c r="M156" s="1">
        <f t="shared" si="9"/>
        <v>45</v>
      </c>
      <c r="N156" s="1">
        <v>90</v>
      </c>
    </row>
    <row r="157" spans="1:14" x14ac:dyDescent="0.3">
      <c r="A157" t="s">
        <v>965</v>
      </c>
      <c r="B157" t="s">
        <v>965</v>
      </c>
      <c r="C157" t="s">
        <v>298</v>
      </c>
      <c r="D157" t="s">
        <v>298</v>
      </c>
      <c r="E157" t="s">
        <v>299</v>
      </c>
      <c r="F157" t="s">
        <v>282</v>
      </c>
      <c r="G157">
        <v>1685.37</v>
      </c>
      <c r="H157" t="s">
        <v>1230</v>
      </c>
      <c r="I157" t="s">
        <v>1333</v>
      </c>
      <c r="J157">
        <v>141323</v>
      </c>
      <c r="K157" t="s">
        <v>1285</v>
      </c>
      <c r="L157" s="1">
        <v>0</v>
      </c>
      <c r="M157" s="1">
        <v>0</v>
      </c>
      <c r="N157" s="1">
        <v>0</v>
      </c>
    </row>
    <row r="158" spans="1:14" x14ac:dyDescent="0.3">
      <c r="A158" t="s">
        <v>966</v>
      </c>
      <c r="B158" t="s">
        <v>966</v>
      </c>
      <c r="C158" t="s">
        <v>300</v>
      </c>
      <c r="D158" t="s">
        <v>300</v>
      </c>
      <c r="E158" t="s">
        <v>301</v>
      </c>
      <c r="F158" t="s">
        <v>282</v>
      </c>
      <c r="G158">
        <v>1482.6</v>
      </c>
      <c r="H158" t="s">
        <v>1231</v>
      </c>
      <c r="I158" t="s">
        <v>1332</v>
      </c>
      <c r="J158">
        <v>96090</v>
      </c>
      <c r="K158" t="s">
        <v>1285</v>
      </c>
      <c r="L158" s="1">
        <v>45</v>
      </c>
      <c r="M158" s="1">
        <f t="shared" ref="M158:M193" si="10">N158-L158</f>
        <v>15</v>
      </c>
      <c r="N158" s="1">
        <v>60</v>
      </c>
    </row>
    <row r="159" spans="1:14" x14ac:dyDescent="0.3">
      <c r="A159" t="s">
        <v>967</v>
      </c>
      <c r="B159" t="s">
        <v>967</v>
      </c>
      <c r="C159" t="s">
        <v>302</v>
      </c>
      <c r="D159" t="s">
        <v>302</v>
      </c>
      <c r="E159" t="s">
        <v>1383</v>
      </c>
      <c r="F159" t="s">
        <v>282</v>
      </c>
      <c r="G159">
        <v>3267</v>
      </c>
      <c r="H159" t="s">
        <v>1231</v>
      </c>
      <c r="I159" t="s">
        <v>1332</v>
      </c>
      <c r="J159">
        <v>28820</v>
      </c>
      <c r="K159" t="s">
        <v>1280</v>
      </c>
      <c r="L159" s="1">
        <v>45</v>
      </c>
      <c r="M159" s="1">
        <f t="shared" si="10"/>
        <v>110</v>
      </c>
      <c r="N159" s="1">
        <v>155</v>
      </c>
    </row>
    <row r="160" spans="1:14" x14ac:dyDescent="0.3">
      <c r="A160" t="s">
        <v>968</v>
      </c>
      <c r="B160" t="s">
        <v>968</v>
      </c>
      <c r="C160" t="s">
        <v>303</v>
      </c>
      <c r="D160" t="s">
        <v>303</v>
      </c>
      <c r="E160" t="s">
        <v>304</v>
      </c>
      <c r="F160" t="s">
        <v>282</v>
      </c>
      <c r="G160">
        <v>1916.02</v>
      </c>
      <c r="H160" t="s">
        <v>1231</v>
      </c>
      <c r="I160" t="s">
        <v>1332</v>
      </c>
      <c r="J160">
        <v>39000</v>
      </c>
      <c r="K160" t="s">
        <v>1280</v>
      </c>
      <c r="L160" s="1">
        <v>45</v>
      </c>
      <c r="M160" s="1">
        <f t="shared" si="10"/>
        <v>17</v>
      </c>
      <c r="N160" s="1">
        <v>62</v>
      </c>
    </row>
    <row r="161" spans="1:14" x14ac:dyDescent="0.3">
      <c r="A161" t="s">
        <v>969</v>
      </c>
      <c r="B161" t="s">
        <v>969</v>
      </c>
      <c r="C161" t="s">
        <v>305</v>
      </c>
      <c r="D161" t="s">
        <v>305</v>
      </c>
      <c r="E161" t="s">
        <v>1384</v>
      </c>
      <c r="F161" t="s">
        <v>282</v>
      </c>
      <c r="G161">
        <v>14701.5</v>
      </c>
      <c r="H161" t="s">
        <v>1232</v>
      </c>
      <c r="I161" t="s">
        <v>1236</v>
      </c>
      <c r="J161">
        <v>1960</v>
      </c>
      <c r="K161" t="s">
        <v>1281</v>
      </c>
      <c r="L161" s="1">
        <v>45</v>
      </c>
      <c r="M161" s="1">
        <f t="shared" si="10"/>
        <v>15</v>
      </c>
      <c r="N161" s="1">
        <v>60</v>
      </c>
    </row>
    <row r="162" spans="1:14" x14ac:dyDescent="0.3">
      <c r="A162" t="s">
        <v>970</v>
      </c>
      <c r="B162" t="s">
        <v>970</v>
      </c>
      <c r="C162" t="s">
        <v>306</v>
      </c>
      <c r="D162" t="s">
        <v>306</v>
      </c>
      <c r="E162" t="s">
        <v>1385</v>
      </c>
      <c r="F162" t="s">
        <v>282</v>
      </c>
      <c r="G162">
        <v>11880</v>
      </c>
      <c r="H162" t="s">
        <v>1232</v>
      </c>
      <c r="I162" t="s">
        <v>1236</v>
      </c>
      <c r="J162">
        <v>3920</v>
      </c>
      <c r="K162" t="s">
        <v>1281</v>
      </c>
      <c r="L162" s="1">
        <v>45</v>
      </c>
      <c r="M162" s="1">
        <f t="shared" si="10"/>
        <v>15</v>
      </c>
      <c r="N162" s="1">
        <v>60</v>
      </c>
    </row>
    <row r="163" spans="1:14" x14ac:dyDescent="0.3">
      <c r="A163" t="s">
        <v>971</v>
      </c>
      <c r="B163" t="s">
        <v>971</v>
      </c>
      <c r="C163" t="s">
        <v>307</v>
      </c>
      <c r="D163" t="s">
        <v>307</v>
      </c>
      <c r="E163" t="s">
        <v>308</v>
      </c>
      <c r="F163" t="s">
        <v>282</v>
      </c>
      <c r="G163">
        <v>6454.8</v>
      </c>
      <c r="H163" t="s">
        <v>1231</v>
      </c>
      <c r="I163" t="s">
        <v>1332</v>
      </c>
      <c r="J163">
        <v>9568</v>
      </c>
      <c r="K163" t="s">
        <v>1279</v>
      </c>
      <c r="L163" s="1">
        <v>45</v>
      </c>
      <c r="M163" s="1">
        <f t="shared" si="10"/>
        <v>20</v>
      </c>
      <c r="N163" s="1">
        <v>65</v>
      </c>
    </row>
    <row r="164" spans="1:14" x14ac:dyDescent="0.3">
      <c r="A164" t="s">
        <v>972</v>
      </c>
      <c r="B164" t="s">
        <v>972</v>
      </c>
      <c r="C164" t="s">
        <v>309</v>
      </c>
      <c r="D164" t="s">
        <v>309</v>
      </c>
      <c r="E164" t="s">
        <v>310</v>
      </c>
      <c r="F164" t="s">
        <v>282</v>
      </c>
      <c r="G164">
        <v>6454.8</v>
      </c>
      <c r="H164" t="s">
        <v>1231</v>
      </c>
      <c r="I164" t="s">
        <v>1332</v>
      </c>
      <c r="J164">
        <v>9671</v>
      </c>
      <c r="K164" t="s">
        <v>1279</v>
      </c>
      <c r="L164" s="1">
        <v>45</v>
      </c>
      <c r="M164" s="1">
        <f t="shared" si="10"/>
        <v>23</v>
      </c>
      <c r="N164" s="1">
        <v>68</v>
      </c>
    </row>
    <row r="165" spans="1:14" x14ac:dyDescent="0.3">
      <c r="A165" t="s">
        <v>973</v>
      </c>
      <c r="B165" t="s">
        <v>973</v>
      </c>
      <c r="C165" t="s">
        <v>311</v>
      </c>
      <c r="D165" t="s">
        <v>311</v>
      </c>
      <c r="E165" t="s">
        <v>312</v>
      </c>
      <c r="F165" t="s">
        <v>282</v>
      </c>
      <c r="G165">
        <v>10781.1</v>
      </c>
      <c r="H165" t="s">
        <v>1231</v>
      </c>
      <c r="I165" t="s">
        <v>1332</v>
      </c>
      <c r="J165">
        <v>9866</v>
      </c>
      <c r="K165" t="s">
        <v>1279</v>
      </c>
      <c r="L165" s="1">
        <v>45</v>
      </c>
      <c r="M165" s="1">
        <f t="shared" si="10"/>
        <v>15</v>
      </c>
      <c r="N165" s="1">
        <v>60</v>
      </c>
    </row>
    <row r="166" spans="1:14" x14ac:dyDescent="0.3">
      <c r="A166" t="s">
        <v>974</v>
      </c>
      <c r="B166" t="s">
        <v>974</v>
      </c>
      <c r="C166" t="s">
        <v>313</v>
      </c>
      <c r="D166" t="s">
        <v>313</v>
      </c>
      <c r="E166" t="s">
        <v>314</v>
      </c>
      <c r="F166" t="s">
        <v>282</v>
      </c>
      <c r="G166">
        <v>10781.1</v>
      </c>
      <c r="H166" t="s">
        <v>1231</v>
      </c>
      <c r="I166" t="s">
        <v>1332</v>
      </c>
      <c r="J166">
        <v>9849</v>
      </c>
      <c r="K166" t="s">
        <v>1279</v>
      </c>
      <c r="L166" s="1">
        <v>45</v>
      </c>
      <c r="M166" s="1">
        <f t="shared" si="10"/>
        <v>17</v>
      </c>
      <c r="N166" s="1">
        <v>62</v>
      </c>
    </row>
    <row r="167" spans="1:14" x14ac:dyDescent="0.3">
      <c r="A167" t="s">
        <v>975</v>
      </c>
      <c r="B167" t="s">
        <v>975</v>
      </c>
      <c r="C167" t="s">
        <v>315</v>
      </c>
      <c r="D167" t="s">
        <v>315</v>
      </c>
      <c r="E167" t="s">
        <v>316</v>
      </c>
      <c r="F167" t="s">
        <v>282</v>
      </c>
      <c r="G167">
        <v>14820.3</v>
      </c>
      <c r="H167" t="s">
        <v>1231</v>
      </c>
      <c r="I167" t="s">
        <v>1332</v>
      </c>
      <c r="J167">
        <v>2932</v>
      </c>
      <c r="K167" t="s">
        <v>1279</v>
      </c>
      <c r="L167" s="1">
        <v>45</v>
      </c>
      <c r="M167" s="1">
        <f t="shared" si="10"/>
        <v>20</v>
      </c>
      <c r="N167" s="1">
        <v>65</v>
      </c>
    </row>
    <row r="168" spans="1:14" x14ac:dyDescent="0.3">
      <c r="A168" t="s">
        <v>976</v>
      </c>
      <c r="B168" t="s">
        <v>976</v>
      </c>
      <c r="C168" t="s">
        <v>317</v>
      </c>
      <c r="D168" t="s">
        <v>317</v>
      </c>
      <c r="E168" t="s">
        <v>318</v>
      </c>
      <c r="F168" t="s">
        <v>282</v>
      </c>
      <c r="G168">
        <v>6454.8</v>
      </c>
      <c r="H168" t="s">
        <v>1231</v>
      </c>
      <c r="I168" t="s">
        <v>1332</v>
      </c>
      <c r="J168">
        <v>9705</v>
      </c>
      <c r="K168" t="s">
        <v>1279</v>
      </c>
      <c r="L168" s="1">
        <v>45</v>
      </c>
      <c r="M168" s="1">
        <f t="shared" si="10"/>
        <v>19</v>
      </c>
      <c r="N168" s="1">
        <v>64</v>
      </c>
    </row>
    <row r="169" spans="1:14" x14ac:dyDescent="0.3">
      <c r="A169" t="s">
        <v>977</v>
      </c>
      <c r="B169" t="s">
        <v>977</v>
      </c>
      <c r="C169" t="s">
        <v>319</v>
      </c>
      <c r="D169" t="s">
        <v>319</v>
      </c>
      <c r="E169" t="s">
        <v>320</v>
      </c>
      <c r="F169" t="s">
        <v>282</v>
      </c>
      <c r="G169">
        <v>10781.1</v>
      </c>
      <c r="H169" t="s">
        <v>1231</v>
      </c>
      <c r="I169" t="s">
        <v>1332</v>
      </c>
      <c r="J169">
        <v>9861</v>
      </c>
      <c r="K169" t="s">
        <v>1279</v>
      </c>
      <c r="L169" s="1">
        <v>45</v>
      </c>
      <c r="M169" s="1">
        <f t="shared" si="10"/>
        <v>16</v>
      </c>
      <c r="N169" s="1">
        <v>61</v>
      </c>
    </row>
    <row r="170" spans="1:14" x14ac:dyDescent="0.3">
      <c r="A170" t="s">
        <v>978</v>
      </c>
      <c r="B170" t="s">
        <v>978</v>
      </c>
      <c r="C170" t="s">
        <v>321</v>
      </c>
      <c r="D170" t="s">
        <v>321</v>
      </c>
      <c r="E170" t="s">
        <v>322</v>
      </c>
      <c r="F170" t="s">
        <v>282</v>
      </c>
      <c r="G170">
        <v>14820.3</v>
      </c>
      <c r="H170" t="s">
        <v>1231</v>
      </c>
      <c r="I170" t="s">
        <v>1332</v>
      </c>
      <c r="J170">
        <v>2943</v>
      </c>
      <c r="K170" t="s">
        <v>1279</v>
      </c>
      <c r="L170" s="1">
        <v>45</v>
      </c>
      <c r="M170" s="1">
        <f t="shared" si="10"/>
        <v>20</v>
      </c>
      <c r="N170" s="1">
        <v>65</v>
      </c>
    </row>
    <row r="171" spans="1:14" x14ac:dyDescent="0.3">
      <c r="A171" t="s">
        <v>979</v>
      </c>
      <c r="B171" t="s">
        <v>979</v>
      </c>
      <c r="C171" t="s">
        <v>323</v>
      </c>
      <c r="D171" t="s">
        <v>323</v>
      </c>
      <c r="E171" t="s">
        <v>324</v>
      </c>
      <c r="F171" t="s">
        <v>282</v>
      </c>
      <c r="G171">
        <v>6454.8</v>
      </c>
      <c r="H171" t="s">
        <v>1231</v>
      </c>
      <c r="I171" t="s">
        <v>1332</v>
      </c>
      <c r="J171">
        <v>9588</v>
      </c>
      <c r="K171" t="s">
        <v>1279</v>
      </c>
      <c r="L171" s="1">
        <v>45</v>
      </c>
      <c r="M171" s="1">
        <f t="shared" si="10"/>
        <v>32</v>
      </c>
      <c r="N171" s="1">
        <v>77</v>
      </c>
    </row>
    <row r="172" spans="1:14" x14ac:dyDescent="0.3">
      <c r="A172" t="s">
        <v>980</v>
      </c>
      <c r="B172" t="s">
        <v>980</v>
      </c>
      <c r="C172" t="s">
        <v>325</v>
      </c>
      <c r="D172" t="s">
        <v>325</v>
      </c>
      <c r="E172" t="s">
        <v>326</v>
      </c>
      <c r="F172" t="s">
        <v>282</v>
      </c>
      <c r="G172">
        <v>10781.1</v>
      </c>
      <c r="H172" t="s">
        <v>1231</v>
      </c>
      <c r="I172" t="s">
        <v>1332</v>
      </c>
      <c r="J172">
        <v>9764</v>
      </c>
      <c r="K172" t="s">
        <v>1279</v>
      </c>
      <c r="L172" s="1">
        <v>45</v>
      </c>
      <c r="M172" s="1">
        <f t="shared" si="10"/>
        <v>29</v>
      </c>
      <c r="N172" s="1">
        <v>74</v>
      </c>
    </row>
    <row r="173" spans="1:14" x14ac:dyDescent="0.3">
      <c r="A173" t="s">
        <v>981</v>
      </c>
      <c r="B173" t="s">
        <v>981</v>
      </c>
      <c r="C173" t="s">
        <v>327</v>
      </c>
      <c r="D173" t="s">
        <v>327</v>
      </c>
      <c r="E173" t="s">
        <v>1386</v>
      </c>
      <c r="F173" t="s">
        <v>282</v>
      </c>
      <c r="G173">
        <v>12375</v>
      </c>
      <c r="H173" t="s">
        <v>1231</v>
      </c>
      <c r="I173" t="s">
        <v>1332</v>
      </c>
      <c r="J173">
        <v>4890</v>
      </c>
      <c r="K173" t="s">
        <v>1279</v>
      </c>
      <c r="L173" s="1">
        <v>45</v>
      </c>
      <c r="M173" s="1">
        <f t="shared" si="10"/>
        <v>15</v>
      </c>
      <c r="N173" s="1">
        <v>60</v>
      </c>
    </row>
    <row r="174" spans="1:14" x14ac:dyDescent="0.3">
      <c r="A174" t="s">
        <v>982</v>
      </c>
      <c r="B174" t="s">
        <v>982</v>
      </c>
      <c r="C174" t="s">
        <v>328</v>
      </c>
      <c r="D174" t="s">
        <v>328</v>
      </c>
      <c r="E174" t="s">
        <v>329</v>
      </c>
      <c r="F174" t="s">
        <v>282</v>
      </c>
      <c r="G174">
        <v>10781.1</v>
      </c>
      <c r="H174" t="s">
        <v>1231</v>
      </c>
      <c r="I174" t="s">
        <v>1332</v>
      </c>
      <c r="J174">
        <v>3286</v>
      </c>
      <c r="K174" t="s">
        <v>1281</v>
      </c>
      <c r="L174" s="1">
        <v>45</v>
      </c>
      <c r="M174" s="1">
        <f t="shared" si="10"/>
        <v>15</v>
      </c>
      <c r="N174" s="1">
        <v>60</v>
      </c>
    </row>
    <row r="175" spans="1:14" x14ac:dyDescent="0.3">
      <c r="A175" t="s">
        <v>983</v>
      </c>
      <c r="B175" t="s">
        <v>983</v>
      </c>
      <c r="C175" t="s">
        <v>330</v>
      </c>
      <c r="D175" t="s">
        <v>330</v>
      </c>
      <c r="E175" t="s">
        <v>331</v>
      </c>
      <c r="F175" t="s">
        <v>282</v>
      </c>
      <c r="G175">
        <v>11434.5</v>
      </c>
      <c r="H175" t="s">
        <v>1231</v>
      </c>
      <c r="I175" t="s">
        <v>1332</v>
      </c>
      <c r="J175">
        <v>9219</v>
      </c>
      <c r="K175" t="s">
        <v>1281</v>
      </c>
      <c r="L175" s="1">
        <v>45</v>
      </c>
      <c r="M175" s="1">
        <f t="shared" si="10"/>
        <v>22</v>
      </c>
      <c r="N175" s="1">
        <v>67</v>
      </c>
    </row>
    <row r="176" spans="1:14" x14ac:dyDescent="0.3">
      <c r="A176" t="s">
        <v>984</v>
      </c>
      <c r="B176" t="s">
        <v>984</v>
      </c>
      <c r="C176" t="s">
        <v>332</v>
      </c>
      <c r="D176" t="s">
        <v>332</v>
      </c>
      <c r="E176" t="s">
        <v>333</v>
      </c>
      <c r="F176" t="s">
        <v>334</v>
      </c>
      <c r="G176">
        <v>1585.97</v>
      </c>
      <c r="H176" t="s">
        <v>1231</v>
      </c>
      <c r="I176" t="s">
        <v>1332</v>
      </c>
      <c r="J176">
        <v>2000</v>
      </c>
      <c r="K176" t="s">
        <v>1286</v>
      </c>
      <c r="L176" s="1">
        <v>45</v>
      </c>
      <c r="M176" s="1">
        <f t="shared" si="10"/>
        <v>15</v>
      </c>
      <c r="N176" s="1">
        <v>60</v>
      </c>
    </row>
    <row r="177" spans="1:14" x14ac:dyDescent="0.3">
      <c r="A177" t="s">
        <v>985</v>
      </c>
      <c r="B177" t="s">
        <v>985</v>
      </c>
      <c r="C177" t="s">
        <v>335</v>
      </c>
      <c r="D177" t="s">
        <v>335</v>
      </c>
      <c r="E177" t="s">
        <v>336</v>
      </c>
      <c r="F177" t="s">
        <v>334</v>
      </c>
      <c r="G177">
        <v>1585.97</v>
      </c>
      <c r="H177" t="s">
        <v>1231</v>
      </c>
      <c r="I177" t="s">
        <v>1332</v>
      </c>
      <c r="J177">
        <v>2000</v>
      </c>
      <c r="K177" t="s">
        <v>1286</v>
      </c>
      <c r="L177" s="1">
        <v>45</v>
      </c>
      <c r="M177" s="1">
        <f t="shared" si="10"/>
        <v>22</v>
      </c>
      <c r="N177" s="1">
        <v>67</v>
      </c>
    </row>
    <row r="178" spans="1:14" x14ac:dyDescent="0.3">
      <c r="A178" t="s">
        <v>986</v>
      </c>
      <c r="B178" t="s">
        <v>986</v>
      </c>
      <c r="C178" t="s">
        <v>337</v>
      </c>
      <c r="D178" t="s">
        <v>337</v>
      </c>
      <c r="E178" t="s">
        <v>338</v>
      </c>
      <c r="F178" t="s">
        <v>334</v>
      </c>
      <c r="G178">
        <v>1585.97</v>
      </c>
      <c r="H178" t="s">
        <v>1231</v>
      </c>
      <c r="I178" t="s">
        <v>1332</v>
      </c>
      <c r="J178">
        <v>2000</v>
      </c>
      <c r="K178" t="s">
        <v>1286</v>
      </c>
      <c r="L178" s="1">
        <v>45</v>
      </c>
      <c r="M178" s="1">
        <f t="shared" si="10"/>
        <v>15</v>
      </c>
      <c r="N178" s="1">
        <v>60</v>
      </c>
    </row>
    <row r="179" spans="1:14" x14ac:dyDescent="0.3">
      <c r="A179" t="s">
        <v>987</v>
      </c>
      <c r="B179" t="s">
        <v>987</v>
      </c>
      <c r="C179" t="s">
        <v>339</v>
      </c>
      <c r="D179" t="s">
        <v>339</v>
      </c>
      <c r="E179" t="s">
        <v>340</v>
      </c>
      <c r="F179" t="s">
        <v>334</v>
      </c>
      <c r="G179">
        <v>1585.97</v>
      </c>
      <c r="H179" t="s">
        <v>1231</v>
      </c>
      <c r="I179" t="s">
        <v>1332</v>
      </c>
      <c r="J179">
        <v>2000</v>
      </c>
      <c r="K179" t="s">
        <v>1286</v>
      </c>
      <c r="L179" s="1">
        <v>45</v>
      </c>
      <c r="M179" s="1">
        <f t="shared" si="10"/>
        <v>19</v>
      </c>
      <c r="N179" s="1">
        <v>64</v>
      </c>
    </row>
    <row r="180" spans="1:14" x14ac:dyDescent="0.3">
      <c r="A180" t="s">
        <v>988</v>
      </c>
      <c r="B180" t="s">
        <v>988</v>
      </c>
      <c r="C180" t="s">
        <v>341</v>
      </c>
      <c r="D180" t="s">
        <v>341</v>
      </c>
      <c r="E180" t="s">
        <v>342</v>
      </c>
      <c r="F180" t="s">
        <v>334</v>
      </c>
      <c r="G180">
        <v>1585.97</v>
      </c>
      <c r="H180" t="s">
        <v>1231</v>
      </c>
      <c r="I180" t="s">
        <v>1332</v>
      </c>
      <c r="J180">
        <v>2000</v>
      </c>
      <c r="K180" t="s">
        <v>1286</v>
      </c>
      <c r="L180" s="1">
        <v>45</v>
      </c>
      <c r="M180" s="1">
        <f t="shared" si="10"/>
        <v>54</v>
      </c>
      <c r="N180" s="1">
        <v>99</v>
      </c>
    </row>
    <row r="181" spans="1:14" x14ac:dyDescent="0.3">
      <c r="A181" t="s">
        <v>989</v>
      </c>
      <c r="B181" t="s">
        <v>1318</v>
      </c>
      <c r="C181" t="s">
        <v>343</v>
      </c>
      <c r="D181" t="s">
        <v>1264</v>
      </c>
      <c r="E181" t="s">
        <v>1387</v>
      </c>
      <c r="F181" t="s">
        <v>334</v>
      </c>
      <c r="G181">
        <v>1585.97</v>
      </c>
      <c r="H181" t="s">
        <v>1231</v>
      </c>
      <c r="I181" t="s">
        <v>1332</v>
      </c>
      <c r="J181">
        <v>2000</v>
      </c>
      <c r="K181" t="s">
        <v>1286</v>
      </c>
      <c r="L181" s="1">
        <v>45</v>
      </c>
      <c r="M181" s="1">
        <f t="shared" si="10"/>
        <v>26</v>
      </c>
      <c r="N181" s="1">
        <v>71</v>
      </c>
    </row>
    <row r="182" spans="1:14" x14ac:dyDescent="0.3">
      <c r="A182" t="s">
        <v>990</v>
      </c>
      <c r="B182" t="s">
        <v>990</v>
      </c>
      <c r="C182" t="s">
        <v>344</v>
      </c>
      <c r="D182" t="s">
        <v>344</v>
      </c>
      <c r="E182" t="s">
        <v>345</v>
      </c>
      <c r="F182" t="s">
        <v>334</v>
      </c>
      <c r="G182">
        <v>1585.97</v>
      </c>
      <c r="H182" t="s">
        <v>1231</v>
      </c>
      <c r="I182" t="s">
        <v>1332</v>
      </c>
      <c r="J182">
        <v>2000</v>
      </c>
      <c r="K182" t="s">
        <v>1286</v>
      </c>
      <c r="L182" s="1">
        <v>45</v>
      </c>
      <c r="M182" s="1">
        <f t="shared" si="10"/>
        <v>40</v>
      </c>
      <c r="N182" s="1">
        <v>85</v>
      </c>
    </row>
    <row r="183" spans="1:14" x14ac:dyDescent="0.3">
      <c r="A183" t="s">
        <v>991</v>
      </c>
      <c r="B183" t="s">
        <v>991</v>
      </c>
      <c r="C183" t="s">
        <v>346</v>
      </c>
      <c r="D183" t="s">
        <v>346</v>
      </c>
      <c r="E183" t="s">
        <v>347</v>
      </c>
      <c r="F183" t="s">
        <v>334</v>
      </c>
      <c r="G183">
        <v>1585.97</v>
      </c>
      <c r="H183" t="s">
        <v>1231</v>
      </c>
      <c r="I183" t="s">
        <v>1332</v>
      </c>
      <c r="J183">
        <v>2000</v>
      </c>
      <c r="K183" t="s">
        <v>1286</v>
      </c>
      <c r="L183" s="1">
        <v>45</v>
      </c>
      <c r="M183" s="1">
        <f t="shared" si="10"/>
        <v>22</v>
      </c>
      <c r="N183" s="1">
        <v>67</v>
      </c>
    </row>
    <row r="184" spans="1:14" x14ac:dyDescent="0.3">
      <c r="A184" t="s">
        <v>992</v>
      </c>
      <c r="B184" t="s">
        <v>992</v>
      </c>
      <c r="C184" t="s">
        <v>348</v>
      </c>
      <c r="D184" t="s">
        <v>348</v>
      </c>
      <c r="E184" t="s">
        <v>349</v>
      </c>
      <c r="F184" t="s">
        <v>334</v>
      </c>
      <c r="G184">
        <v>1435.5</v>
      </c>
      <c r="H184" t="s">
        <v>1231</v>
      </c>
      <c r="I184" t="s">
        <v>1332</v>
      </c>
      <c r="J184">
        <v>2000</v>
      </c>
      <c r="K184" t="s">
        <v>1286</v>
      </c>
      <c r="L184" s="1">
        <v>45</v>
      </c>
      <c r="M184" s="1">
        <f t="shared" si="10"/>
        <v>18</v>
      </c>
      <c r="N184" s="1">
        <v>63</v>
      </c>
    </row>
    <row r="185" spans="1:14" x14ac:dyDescent="0.3">
      <c r="A185" t="s">
        <v>993</v>
      </c>
      <c r="B185" t="s">
        <v>993</v>
      </c>
      <c r="C185" t="s">
        <v>350</v>
      </c>
      <c r="D185" t="s">
        <v>350</v>
      </c>
      <c r="E185" t="s">
        <v>351</v>
      </c>
      <c r="F185" t="s">
        <v>334</v>
      </c>
      <c r="G185">
        <v>1435.5</v>
      </c>
      <c r="H185" t="s">
        <v>1231</v>
      </c>
      <c r="I185" t="s">
        <v>1332</v>
      </c>
      <c r="J185">
        <v>2000</v>
      </c>
      <c r="K185" t="s">
        <v>1286</v>
      </c>
      <c r="L185" s="1">
        <v>45</v>
      </c>
      <c r="M185" s="1">
        <f t="shared" si="10"/>
        <v>20</v>
      </c>
      <c r="N185" s="1">
        <v>65</v>
      </c>
    </row>
    <row r="186" spans="1:14" x14ac:dyDescent="0.3">
      <c r="A186" t="s">
        <v>994</v>
      </c>
      <c r="B186" t="s">
        <v>994</v>
      </c>
      <c r="C186" t="s">
        <v>352</v>
      </c>
      <c r="D186" t="s">
        <v>352</v>
      </c>
      <c r="E186" t="s">
        <v>353</v>
      </c>
      <c r="F186" t="s">
        <v>334</v>
      </c>
      <c r="G186">
        <v>1435.5</v>
      </c>
      <c r="H186" t="s">
        <v>1231</v>
      </c>
      <c r="I186" t="s">
        <v>1332</v>
      </c>
      <c r="J186">
        <v>2000</v>
      </c>
      <c r="K186" t="s">
        <v>1286</v>
      </c>
      <c r="L186" s="1">
        <v>45</v>
      </c>
      <c r="M186" s="1">
        <f t="shared" si="10"/>
        <v>15</v>
      </c>
      <c r="N186" s="1">
        <v>60</v>
      </c>
    </row>
    <row r="187" spans="1:14" x14ac:dyDescent="0.3">
      <c r="A187" t="s">
        <v>995</v>
      </c>
      <c r="B187" t="s">
        <v>995</v>
      </c>
      <c r="C187" t="s">
        <v>354</v>
      </c>
      <c r="D187" t="s">
        <v>354</v>
      </c>
      <c r="E187" t="s">
        <v>355</v>
      </c>
      <c r="F187" t="s">
        <v>334</v>
      </c>
      <c r="G187">
        <v>1435.5</v>
      </c>
      <c r="H187" t="s">
        <v>1231</v>
      </c>
      <c r="I187" t="s">
        <v>1332</v>
      </c>
      <c r="J187">
        <v>2000</v>
      </c>
      <c r="K187" t="s">
        <v>1286</v>
      </c>
      <c r="L187" s="1">
        <v>45</v>
      </c>
      <c r="M187" s="1">
        <f t="shared" si="10"/>
        <v>26</v>
      </c>
      <c r="N187" s="1">
        <v>71</v>
      </c>
    </row>
    <row r="188" spans="1:14" x14ac:dyDescent="0.3">
      <c r="A188" t="s">
        <v>996</v>
      </c>
      <c r="B188" t="s">
        <v>996</v>
      </c>
      <c r="C188" t="s">
        <v>356</v>
      </c>
      <c r="D188" t="s">
        <v>356</v>
      </c>
      <c r="E188" t="s">
        <v>357</v>
      </c>
      <c r="F188" t="s">
        <v>334</v>
      </c>
      <c r="G188">
        <v>1435.5</v>
      </c>
      <c r="H188" t="s">
        <v>1231</v>
      </c>
      <c r="I188" t="s">
        <v>1332</v>
      </c>
      <c r="J188">
        <v>2000</v>
      </c>
      <c r="K188" t="s">
        <v>1286</v>
      </c>
      <c r="L188" s="1">
        <v>45</v>
      </c>
      <c r="M188" s="1">
        <f t="shared" si="10"/>
        <v>46</v>
      </c>
      <c r="N188" s="1">
        <v>91</v>
      </c>
    </row>
    <row r="189" spans="1:14" x14ac:dyDescent="0.3">
      <c r="A189" t="s">
        <v>997</v>
      </c>
      <c r="B189" t="s">
        <v>997</v>
      </c>
      <c r="C189" t="s">
        <v>358</v>
      </c>
      <c r="D189" t="s">
        <v>358</v>
      </c>
      <c r="E189" t="s">
        <v>359</v>
      </c>
      <c r="F189" t="s">
        <v>334</v>
      </c>
      <c r="G189">
        <v>1435.5</v>
      </c>
      <c r="H189" t="s">
        <v>1231</v>
      </c>
      <c r="I189" t="s">
        <v>1332</v>
      </c>
      <c r="J189">
        <v>2000</v>
      </c>
      <c r="K189" t="s">
        <v>1286</v>
      </c>
      <c r="L189" s="1">
        <v>45</v>
      </c>
      <c r="M189" s="1">
        <f t="shared" si="10"/>
        <v>621</v>
      </c>
      <c r="N189" s="1">
        <v>666</v>
      </c>
    </row>
    <row r="190" spans="1:14" x14ac:dyDescent="0.3">
      <c r="A190" t="s">
        <v>998</v>
      </c>
      <c r="B190" t="s">
        <v>998</v>
      </c>
      <c r="C190" t="s">
        <v>360</v>
      </c>
      <c r="D190" t="s">
        <v>360</v>
      </c>
      <c r="E190" t="s">
        <v>361</v>
      </c>
      <c r="F190" t="s">
        <v>334</v>
      </c>
      <c r="G190">
        <v>1435.5</v>
      </c>
      <c r="H190" t="s">
        <v>1231</v>
      </c>
      <c r="I190" t="s">
        <v>1332</v>
      </c>
      <c r="J190">
        <v>2000</v>
      </c>
      <c r="K190" t="s">
        <v>1286</v>
      </c>
      <c r="L190" s="1">
        <v>45</v>
      </c>
      <c r="M190" s="1">
        <f t="shared" si="10"/>
        <v>153</v>
      </c>
      <c r="N190" s="1">
        <v>198</v>
      </c>
    </row>
    <row r="191" spans="1:14" x14ac:dyDescent="0.3">
      <c r="A191" t="s">
        <v>999</v>
      </c>
      <c r="B191" t="s">
        <v>999</v>
      </c>
      <c r="C191" t="s">
        <v>362</v>
      </c>
      <c r="D191" t="s">
        <v>362</v>
      </c>
      <c r="E191" t="s">
        <v>363</v>
      </c>
      <c r="F191" t="s">
        <v>334</v>
      </c>
      <c r="G191">
        <v>1435.5</v>
      </c>
      <c r="H191" t="s">
        <v>1231</v>
      </c>
      <c r="I191" t="s">
        <v>1332</v>
      </c>
      <c r="J191">
        <v>2000</v>
      </c>
      <c r="K191" t="s">
        <v>1286</v>
      </c>
      <c r="L191" s="1">
        <v>45</v>
      </c>
      <c r="M191" s="1">
        <f t="shared" si="10"/>
        <v>26</v>
      </c>
      <c r="N191" s="1">
        <v>71</v>
      </c>
    </row>
    <row r="192" spans="1:14" x14ac:dyDescent="0.3">
      <c r="A192" t="s">
        <v>1000</v>
      </c>
      <c r="B192" t="s">
        <v>1000</v>
      </c>
      <c r="C192" t="s">
        <v>364</v>
      </c>
      <c r="D192" t="s">
        <v>364</v>
      </c>
      <c r="E192" t="s">
        <v>365</v>
      </c>
      <c r="F192" t="s">
        <v>334</v>
      </c>
      <c r="G192">
        <v>6900</v>
      </c>
      <c r="H192" t="s">
        <v>1231</v>
      </c>
      <c r="I192" t="s">
        <v>1332</v>
      </c>
      <c r="J192">
        <v>2438</v>
      </c>
      <c r="K192" t="s">
        <v>1287</v>
      </c>
      <c r="L192" s="1">
        <v>45</v>
      </c>
      <c r="M192" s="1">
        <f t="shared" si="10"/>
        <v>15</v>
      </c>
      <c r="N192" s="1">
        <v>60</v>
      </c>
    </row>
    <row r="193" spans="1:14" x14ac:dyDescent="0.3">
      <c r="A193" t="s">
        <v>1001</v>
      </c>
      <c r="B193" t="s">
        <v>1001</v>
      </c>
      <c r="C193" t="s">
        <v>366</v>
      </c>
      <c r="D193" t="s">
        <v>366</v>
      </c>
      <c r="E193" t="s">
        <v>367</v>
      </c>
      <c r="F193" t="s">
        <v>334</v>
      </c>
      <c r="G193">
        <v>6900</v>
      </c>
      <c r="H193" t="s">
        <v>1231</v>
      </c>
      <c r="I193" t="s">
        <v>1332</v>
      </c>
      <c r="J193">
        <v>2681</v>
      </c>
      <c r="K193" t="s">
        <v>1287</v>
      </c>
      <c r="L193" s="1">
        <v>45</v>
      </c>
      <c r="M193" s="1">
        <f t="shared" si="10"/>
        <v>18</v>
      </c>
      <c r="N193" s="1">
        <v>63</v>
      </c>
    </row>
    <row r="194" spans="1:14" x14ac:dyDescent="0.3">
      <c r="A194" t="s">
        <v>1002</v>
      </c>
      <c r="B194" t="s">
        <v>1002</v>
      </c>
      <c r="C194" t="s">
        <v>368</v>
      </c>
      <c r="D194" t="s">
        <v>368</v>
      </c>
      <c r="E194" t="s">
        <v>369</v>
      </c>
      <c r="F194" t="s">
        <v>334</v>
      </c>
      <c r="G194">
        <v>15840</v>
      </c>
      <c r="H194" t="s">
        <v>1231</v>
      </c>
      <c r="I194" t="s">
        <v>1237</v>
      </c>
      <c r="J194">
        <v>1</v>
      </c>
      <c r="K194" t="s">
        <v>1287</v>
      </c>
      <c r="L194" s="1">
        <v>0</v>
      </c>
      <c r="M194" s="1">
        <v>0</v>
      </c>
      <c r="N194" s="1">
        <v>0</v>
      </c>
    </row>
    <row r="195" spans="1:14" x14ac:dyDescent="0.3">
      <c r="A195" t="s">
        <v>1003</v>
      </c>
      <c r="B195" t="s">
        <v>1003</v>
      </c>
      <c r="C195" t="s">
        <v>370</v>
      </c>
      <c r="D195" t="s">
        <v>370</v>
      </c>
      <c r="E195" t="s">
        <v>371</v>
      </c>
      <c r="F195" t="s">
        <v>334</v>
      </c>
      <c r="G195">
        <v>5606.06</v>
      </c>
      <c r="H195" t="s">
        <v>1232</v>
      </c>
      <c r="I195" t="s">
        <v>1236</v>
      </c>
      <c r="J195">
        <v>29000</v>
      </c>
      <c r="K195" t="s">
        <v>1287</v>
      </c>
      <c r="L195" s="1">
        <v>45</v>
      </c>
      <c r="M195" s="1">
        <f t="shared" ref="M195:M197" si="11">N195-L195</f>
        <v>268</v>
      </c>
      <c r="N195" s="1">
        <v>313</v>
      </c>
    </row>
    <row r="196" spans="1:14" x14ac:dyDescent="0.3">
      <c r="A196" t="s">
        <v>1004</v>
      </c>
      <c r="B196" t="s">
        <v>1319</v>
      </c>
      <c r="C196" t="s">
        <v>372</v>
      </c>
      <c r="D196" t="s">
        <v>1265</v>
      </c>
      <c r="E196" t="s">
        <v>373</v>
      </c>
      <c r="F196" t="s">
        <v>334</v>
      </c>
      <c r="G196">
        <v>1435</v>
      </c>
      <c r="H196" t="s">
        <v>1231</v>
      </c>
      <c r="I196" t="s">
        <v>1332</v>
      </c>
      <c r="J196">
        <v>6966</v>
      </c>
      <c r="K196" t="s">
        <v>1287</v>
      </c>
      <c r="L196" s="1">
        <v>45</v>
      </c>
      <c r="M196" s="1">
        <f t="shared" si="11"/>
        <v>19</v>
      </c>
      <c r="N196" s="1">
        <v>64</v>
      </c>
    </row>
    <row r="197" spans="1:14" x14ac:dyDescent="0.3">
      <c r="A197" t="s">
        <v>1005</v>
      </c>
      <c r="B197" t="s">
        <v>1320</v>
      </c>
      <c r="C197" t="s">
        <v>374</v>
      </c>
      <c r="D197" t="s">
        <v>1266</v>
      </c>
      <c r="E197" t="s">
        <v>375</v>
      </c>
      <c r="F197" t="s">
        <v>334</v>
      </c>
      <c r="G197">
        <v>1435</v>
      </c>
      <c r="H197" t="s">
        <v>1231</v>
      </c>
      <c r="I197" t="s">
        <v>1332</v>
      </c>
      <c r="J197">
        <v>7661</v>
      </c>
      <c r="K197" t="s">
        <v>1287</v>
      </c>
      <c r="L197" s="1">
        <v>45</v>
      </c>
      <c r="M197" s="1">
        <f t="shared" si="11"/>
        <v>20</v>
      </c>
      <c r="N197" s="1">
        <v>65</v>
      </c>
    </row>
    <row r="198" spans="1:14" x14ac:dyDescent="0.3">
      <c r="A198" t="s">
        <v>1006</v>
      </c>
      <c r="B198" t="s">
        <v>1321</v>
      </c>
      <c r="C198" t="s">
        <v>376</v>
      </c>
      <c r="D198" t="s">
        <v>1267</v>
      </c>
      <c r="E198" t="s">
        <v>377</v>
      </c>
      <c r="F198" t="s">
        <v>334</v>
      </c>
      <c r="G198">
        <v>1435</v>
      </c>
      <c r="H198" t="s">
        <v>1231</v>
      </c>
      <c r="I198" t="s">
        <v>1333</v>
      </c>
      <c r="J198">
        <v>7863</v>
      </c>
      <c r="K198" t="s">
        <v>1287</v>
      </c>
      <c r="L198" s="1">
        <v>0</v>
      </c>
      <c r="M198" s="1">
        <v>0</v>
      </c>
      <c r="N198" s="1">
        <v>0</v>
      </c>
    </row>
    <row r="199" spans="1:14" x14ac:dyDescent="0.3">
      <c r="A199" t="s">
        <v>1350</v>
      </c>
      <c r="B199" t="s">
        <v>1007</v>
      </c>
      <c r="C199" t="s">
        <v>1348</v>
      </c>
      <c r="D199" t="s">
        <v>378</v>
      </c>
      <c r="E199" t="s">
        <v>1349</v>
      </c>
      <c r="F199" t="s">
        <v>334</v>
      </c>
      <c r="G199">
        <v>20092.05</v>
      </c>
      <c r="H199" t="s">
        <v>1231</v>
      </c>
      <c r="I199" t="s">
        <v>1237</v>
      </c>
      <c r="J199">
        <v>1</v>
      </c>
      <c r="K199" t="s">
        <v>1287</v>
      </c>
      <c r="L199" s="1">
        <v>0</v>
      </c>
      <c r="M199" s="1">
        <v>0</v>
      </c>
      <c r="N199" s="1">
        <v>0</v>
      </c>
    </row>
    <row r="200" spans="1:14" x14ac:dyDescent="0.3">
      <c r="A200" t="s">
        <v>1008</v>
      </c>
      <c r="B200" t="s">
        <v>1008</v>
      </c>
      <c r="C200" t="s">
        <v>379</v>
      </c>
      <c r="D200" t="s">
        <v>379</v>
      </c>
      <c r="E200" t="s">
        <v>380</v>
      </c>
      <c r="F200" t="s">
        <v>334</v>
      </c>
      <c r="G200">
        <v>20092.05</v>
      </c>
      <c r="H200" t="s">
        <v>1231</v>
      </c>
      <c r="I200" t="s">
        <v>1237</v>
      </c>
      <c r="J200">
        <v>1</v>
      </c>
      <c r="K200" t="s">
        <v>1287</v>
      </c>
      <c r="L200" s="1">
        <v>0</v>
      </c>
      <c r="M200" s="1">
        <v>0</v>
      </c>
      <c r="N200" s="1">
        <v>0</v>
      </c>
    </row>
    <row r="201" spans="1:14" x14ac:dyDescent="0.3">
      <c r="A201" t="s">
        <v>1009</v>
      </c>
      <c r="B201" t="s">
        <v>1009</v>
      </c>
      <c r="C201" t="s">
        <v>381</v>
      </c>
      <c r="D201" t="s">
        <v>381</v>
      </c>
      <c r="E201" t="s">
        <v>382</v>
      </c>
      <c r="F201" t="s">
        <v>334</v>
      </c>
      <c r="G201">
        <v>3752.1</v>
      </c>
      <c r="H201" t="s">
        <v>1231</v>
      </c>
      <c r="I201" t="s">
        <v>1332</v>
      </c>
      <c r="J201">
        <v>7386</v>
      </c>
      <c r="K201" t="s">
        <v>1287</v>
      </c>
      <c r="L201" s="1">
        <v>45</v>
      </c>
      <c r="M201" s="1">
        <f t="shared" ref="M201:M203" si="12">N201-L201</f>
        <v>18</v>
      </c>
      <c r="N201" s="1">
        <v>63</v>
      </c>
    </row>
    <row r="202" spans="1:14" x14ac:dyDescent="0.3">
      <c r="A202" t="s">
        <v>1010</v>
      </c>
      <c r="B202" t="s">
        <v>1010</v>
      </c>
      <c r="C202" t="s">
        <v>383</v>
      </c>
      <c r="D202" t="s">
        <v>383</v>
      </c>
      <c r="E202" t="s">
        <v>384</v>
      </c>
      <c r="F202" t="s">
        <v>334</v>
      </c>
      <c r="G202">
        <v>3752.1</v>
      </c>
      <c r="H202" t="s">
        <v>1231</v>
      </c>
      <c r="I202" t="s">
        <v>1332</v>
      </c>
      <c r="J202">
        <v>7539</v>
      </c>
      <c r="K202" t="s">
        <v>1287</v>
      </c>
      <c r="L202" s="1">
        <v>45</v>
      </c>
      <c r="M202" s="1">
        <f t="shared" si="12"/>
        <v>16</v>
      </c>
      <c r="N202" s="1">
        <v>61</v>
      </c>
    </row>
    <row r="203" spans="1:14" x14ac:dyDescent="0.3">
      <c r="A203" t="s">
        <v>1011</v>
      </c>
      <c r="B203" t="s">
        <v>1011</v>
      </c>
      <c r="C203" t="s">
        <v>385</v>
      </c>
      <c r="D203" t="s">
        <v>385</v>
      </c>
      <c r="E203" t="s">
        <v>386</v>
      </c>
      <c r="F203" t="s">
        <v>334</v>
      </c>
      <c r="G203">
        <v>1564.2</v>
      </c>
      <c r="H203" t="s">
        <v>1231</v>
      </c>
      <c r="I203" t="s">
        <v>1332</v>
      </c>
      <c r="J203">
        <v>15642</v>
      </c>
      <c r="K203" t="s">
        <v>1287</v>
      </c>
      <c r="L203" s="1">
        <v>45</v>
      </c>
      <c r="M203" s="1">
        <f t="shared" si="12"/>
        <v>20</v>
      </c>
      <c r="N203" s="1">
        <v>65</v>
      </c>
    </row>
    <row r="204" spans="1:14" x14ac:dyDescent="0.3">
      <c r="A204" t="s">
        <v>1401</v>
      </c>
      <c r="B204" t="s">
        <v>1012</v>
      </c>
      <c r="C204" t="s">
        <v>1400</v>
      </c>
      <c r="D204" t="s">
        <v>387</v>
      </c>
      <c r="E204" t="s">
        <v>388</v>
      </c>
      <c r="F204" t="s">
        <v>334</v>
      </c>
      <c r="G204">
        <v>19206</v>
      </c>
      <c r="H204" t="s">
        <v>1231</v>
      </c>
      <c r="I204" t="s">
        <v>1237</v>
      </c>
      <c r="J204">
        <v>2106</v>
      </c>
      <c r="K204" t="s">
        <v>1287</v>
      </c>
      <c r="L204" s="1">
        <v>0</v>
      </c>
      <c r="M204" s="1">
        <v>0</v>
      </c>
      <c r="N204" s="1">
        <v>0</v>
      </c>
    </row>
    <row r="205" spans="1:14" x14ac:dyDescent="0.3">
      <c r="A205" t="s">
        <v>1013</v>
      </c>
      <c r="B205" t="s">
        <v>1013</v>
      </c>
      <c r="C205" t="s">
        <v>389</v>
      </c>
      <c r="D205" t="s">
        <v>389</v>
      </c>
      <c r="E205" t="s">
        <v>390</v>
      </c>
      <c r="F205" t="s">
        <v>334</v>
      </c>
      <c r="G205">
        <v>1564.2</v>
      </c>
      <c r="H205" t="s">
        <v>1231</v>
      </c>
      <c r="I205" t="s">
        <v>1332</v>
      </c>
      <c r="J205">
        <v>16832</v>
      </c>
      <c r="K205" t="s">
        <v>1287</v>
      </c>
      <c r="L205" s="1">
        <v>45</v>
      </c>
      <c r="M205" s="1">
        <f t="shared" ref="M205:M207" si="13">N205-L205</f>
        <v>21</v>
      </c>
      <c r="N205" s="1">
        <v>66</v>
      </c>
    </row>
    <row r="206" spans="1:14" x14ac:dyDescent="0.3">
      <c r="A206" t="s">
        <v>1014</v>
      </c>
      <c r="B206" t="s">
        <v>1014</v>
      </c>
      <c r="C206" t="s">
        <v>391</v>
      </c>
      <c r="D206" t="s">
        <v>391</v>
      </c>
      <c r="E206" t="s">
        <v>392</v>
      </c>
      <c r="F206" t="s">
        <v>334</v>
      </c>
      <c r="G206">
        <v>772.2</v>
      </c>
      <c r="H206" t="s">
        <v>1231</v>
      </c>
      <c r="I206" t="s">
        <v>1332</v>
      </c>
      <c r="J206">
        <v>18710</v>
      </c>
      <c r="K206" t="s">
        <v>1287</v>
      </c>
      <c r="L206" s="1">
        <v>45</v>
      </c>
      <c r="M206" s="1">
        <f t="shared" si="13"/>
        <v>20</v>
      </c>
      <c r="N206" s="1">
        <v>65</v>
      </c>
    </row>
    <row r="207" spans="1:14" x14ac:dyDescent="0.3">
      <c r="A207" t="s">
        <v>1015</v>
      </c>
      <c r="B207" t="s">
        <v>1015</v>
      </c>
      <c r="C207" t="s">
        <v>393</v>
      </c>
      <c r="D207" t="s">
        <v>393</v>
      </c>
      <c r="E207" t="s">
        <v>394</v>
      </c>
      <c r="F207" t="s">
        <v>334</v>
      </c>
      <c r="G207">
        <v>772.2</v>
      </c>
      <c r="H207" t="s">
        <v>1231</v>
      </c>
      <c r="I207" t="s">
        <v>1332</v>
      </c>
      <c r="J207">
        <v>19099</v>
      </c>
      <c r="K207" t="s">
        <v>1287</v>
      </c>
      <c r="L207" s="1">
        <v>45</v>
      </c>
      <c r="M207" s="1">
        <f t="shared" si="13"/>
        <v>19</v>
      </c>
      <c r="N207" s="1">
        <v>64</v>
      </c>
    </row>
    <row r="208" spans="1:14" x14ac:dyDescent="0.3">
      <c r="A208" t="s">
        <v>1016</v>
      </c>
      <c r="B208" t="s">
        <v>1016</v>
      </c>
      <c r="C208" t="s">
        <v>395</v>
      </c>
      <c r="D208" t="s">
        <v>395</v>
      </c>
      <c r="E208" t="s">
        <v>396</v>
      </c>
      <c r="F208" t="s">
        <v>334</v>
      </c>
      <c r="G208">
        <v>3752.1</v>
      </c>
      <c r="H208" t="s">
        <v>1231</v>
      </c>
      <c r="I208" t="s">
        <v>1333</v>
      </c>
      <c r="J208">
        <v>7821</v>
      </c>
      <c r="K208" t="s">
        <v>1287</v>
      </c>
      <c r="L208" s="1">
        <v>0</v>
      </c>
      <c r="M208" s="1">
        <v>0</v>
      </c>
      <c r="N208" s="1">
        <v>0</v>
      </c>
    </row>
    <row r="209" spans="1:14" x14ac:dyDescent="0.3">
      <c r="A209" t="s">
        <v>1017</v>
      </c>
      <c r="B209" t="s">
        <v>1017</v>
      </c>
      <c r="C209" t="s">
        <v>397</v>
      </c>
      <c r="D209" t="s">
        <v>397</v>
      </c>
      <c r="E209" t="s">
        <v>398</v>
      </c>
      <c r="F209" t="s">
        <v>334</v>
      </c>
      <c r="G209">
        <v>3300</v>
      </c>
      <c r="H209" t="s">
        <v>1232</v>
      </c>
      <c r="I209" t="s">
        <v>1236</v>
      </c>
      <c r="J209">
        <v>16333</v>
      </c>
      <c r="K209" t="s">
        <v>1287</v>
      </c>
      <c r="L209" s="1">
        <v>45</v>
      </c>
      <c r="M209" s="1">
        <f t="shared" ref="M209:M217" si="14">N209-L209</f>
        <v>28</v>
      </c>
      <c r="N209" s="1">
        <v>73</v>
      </c>
    </row>
    <row r="210" spans="1:14" x14ac:dyDescent="0.3">
      <c r="A210" t="s">
        <v>1018</v>
      </c>
      <c r="B210" t="s">
        <v>1018</v>
      </c>
      <c r="C210" t="s">
        <v>399</v>
      </c>
      <c r="D210" t="s">
        <v>399</v>
      </c>
      <c r="E210" t="s">
        <v>400</v>
      </c>
      <c r="F210" t="s">
        <v>334</v>
      </c>
      <c r="G210">
        <v>3300</v>
      </c>
      <c r="H210" t="s">
        <v>1231</v>
      </c>
      <c r="I210" t="s">
        <v>1332</v>
      </c>
      <c r="J210">
        <v>15997</v>
      </c>
      <c r="K210" t="s">
        <v>1287</v>
      </c>
      <c r="L210" s="1">
        <v>45</v>
      </c>
      <c r="M210" s="1">
        <f t="shared" si="14"/>
        <v>19</v>
      </c>
      <c r="N210" s="1">
        <v>64</v>
      </c>
    </row>
    <row r="211" spans="1:14" x14ac:dyDescent="0.3">
      <c r="A211" t="s">
        <v>1019</v>
      </c>
      <c r="B211" t="s">
        <v>1019</v>
      </c>
      <c r="C211" t="s">
        <v>401</v>
      </c>
      <c r="D211" t="s">
        <v>401</v>
      </c>
      <c r="E211" t="s">
        <v>402</v>
      </c>
      <c r="F211" t="s">
        <v>334</v>
      </c>
      <c r="G211">
        <v>3300</v>
      </c>
      <c r="H211" t="s">
        <v>1231</v>
      </c>
      <c r="I211" t="s">
        <v>1332</v>
      </c>
      <c r="J211">
        <v>15838</v>
      </c>
      <c r="K211" t="s">
        <v>1287</v>
      </c>
      <c r="L211" s="1">
        <v>45</v>
      </c>
      <c r="M211" s="1">
        <f t="shared" si="14"/>
        <v>29</v>
      </c>
      <c r="N211" s="1">
        <v>74</v>
      </c>
    </row>
    <row r="212" spans="1:14" x14ac:dyDescent="0.3">
      <c r="A212" t="s">
        <v>1355</v>
      </c>
      <c r="B212" t="s">
        <v>1398</v>
      </c>
      <c r="C212" t="s">
        <v>1351</v>
      </c>
      <c r="D212" t="s">
        <v>403</v>
      </c>
      <c r="E212" t="s">
        <v>1353</v>
      </c>
      <c r="F212" t="s">
        <v>334</v>
      </c>
      <c r="G212">
        <v>2139.39</v>
      </c>
      <c r="H212" t="s">
        <v>1231</v>
      </c>
      <c r="I212" t="s">
        <v>1332</v>
      </c>
      <c r="J212">
        <v>9355</v>
      </c>
      <c r="K212" t="s">
        <v>1287</v>
      </c>
      <c r="L212" s="1">
        <v>45</v>
      </c>
      <c r="M212" s="1">
        <f t="shared" si="14"/>
        <v>15</v>
      </c>
      <c r="N212" s="1">
        <v>60</v>
      </c>
    </row>
    <row r="213" spans="1:14" x14ac:dyDescent="0.3">
      <c r="A213" t="s">
        <v>1356</v>
      </c>
      <c r="B213" t="s">
        <v>1399</v>
      </c>
      <c r="C213" t="s">
        <v>1352</v>
      </c>
      <c r="D213" t="s">
        <v>404</v>
      </c>
      <c r="E213" t="s">
        <v>1354</v>
      </c>
      <c r="F213" t="s">
        <v>334</v>
      </c>
      <c r="G213">
        <v>2139.39</v>
      </c>
      <c r="H213" t="s">
        <v>1231</v>
      </c>
      <c r="I213" t="s">
        <v>1332</v>
      </c>
      <c r="J213">
        <v>9549</v>
      </c>
      <c r="K213" t="s">
        <v>1287</v>
      </c>
      <c r="L213" s="1">
        <v>45</v>
      </c>
      <c r="M213" s="1">
        <f t="shared" si="14"/>
        <v>15</v>
      </c>
      <c r="N213" s="1">
        <v>60</v>
      </c>
    </row>
    <row r="214" spans="1:14" x14ac:dyDescent="0.3">
      <c r="A214" t="s">
        <v>1020</v>
      </c>
      <c r="B214" t="s">
        <v>1020</v>
      </c>
      <c r="C214" t="s">
        <v>405</v>
      </c>
      <c r="D214" t="s">
        <v>405</v>
      </c>
      <c r="E214" t="s">
        <v>1388</v>
      </c>
      <c r="F214" t="s">
        <v>334</v>
      </c>
      <c r="G214">
        <v>1465</v>
      </c>
      <c r="H214" t="s">
        <v>1231</v>
      </c>
      <c r="I214" t="s">
        <v>1332</v>
      </c>
      <c r="J214">
        <v>4500</v>
      </c>
      <c r="K214" t="s">
        <v>1287</v>
      </c>
      <c r="L214" s="1">
        <v>45</v>
      </c>
      <c r="M214" s="1">
        <f t="shared" si="14"/>
        <v>27</v>
      </c>
      <c r="N214" s="1">
        <v>72</v>
      </c>
    </row>
    <row r="215" spans="1:14" x14ac:dyDescent="0.3">
      <c r="A215" t="s">
        <v>1021</v>
      </c>
      <c r="B215" t="s">
        <v>1021</v>
      </c>
      <c r="C215" t="s">
        <v>406</v>
      </c>
      <c r="D215" t="s">
        <v>406</v>
      </c>
      <c r="E215" t="s">
        <v>1389</v>
      </c>
      <c r="F215" t="s">
        <v>334</v>
      </c>
      <c r="G215">
        <v>1465</v>
      </c>
      <c r="H215" t="s">
        <v>1231</v>
      </c>
      <c r="I215" t="s">
        <v>1332</v>
      </c>
      <c r="J215">
        <v>4500</v>
      </c>
      <c r="K215" t="s">
        <v>1287</v>
      </c>
      <c r="L215" s="1">
        <v>45</v>
      </c>
      <c r="M215" s="1">
        <f t="shared" si="14"/>
        <v>26</v>
      </c>
      <c r="N215" s="1">
        <v>71</v>
      </c>
    </row>
    <row r="216" spans="1:14" x14ac:dyDescent="0.3">
      <c r="A216" t="s">
        <v>1022</v>
      </c>
      <c r="B216" t="s">
        <v>1022</v>
      </c>
      <c r="C216" t="s">
        <v>407</v>
      </c>
      <c r="D216" t="s">
        <v>407</v>
      </c>
      <c r="E216" t="s">
        <v>408</v>
      </c>
      <c r="F216" t="s">
        <v>334</v>
      </c>
      <c r="G216">
        <v>5574</v>
      </c>
      <c r="H216" t="s">
        <v>1231</v>
      </c>
      <c r="I216" t="s">
        <v>1332</v>
      </c>
      <c r="J216">
        <v>4698</v>
      </c>
      <c r="K216" t="s">
        <v>1287</v>
      </c>
      <c r="L216" s="1">
        <v>45</v>
      </c>
      <c r="M216" s="1">
        <f t="shared" si="14"/>
        <v>15</v>
      </c>
      <c r="N216" s="1">
        <v>60</v>
      </c>
    </row>
    <row r="217" spans="1:14" x14ac:dyDescent="0.3">
      <c r="A217" t="s">
        <v>1023</v>
      </c>
      <c r="B217" t="s">
        <v>1023</v>
      </c>
      <c r="C217" t="s">
        <v>409</v>
      </c>
      <c r="D217" t="s">
        <v>409</v>
      </c>
      <c r="E217" t="s">
        <v>410</v>
      </c>
      <c r="F217" t="s">
        <v>334</v>
      </c>
      <c r="G217">
        <v>5574</v>
      </c>
      <c r="H217" t="s">
        <v>1231</v>
      </c>
      <c r="I217" t="s">
        <v>1332</v>
      </c>
      <c r="J217">
        <v>4052</v>
      </c>
      <c r="K217" t="s">
        <v>1287</v>
      </c>
      <c r="L217" s="1">
        <v>45</v>
      </c>
      <c r="M217" s="1">
        <f t="shared" si="14"/>
        <v>15</v>
      </c>
      <c r="N217" s="1">
        <v>60</v>
      </c>
    </row>
    <row r="218" spans="1:14" x14ac:dyDescent="0.3">
      <c r="A218" t="s">
        <v>1024</v>
      </c>
      <c r="B218" t="s">
        <v>1024</v>
      </c>
      <c r="C218" t="s">
        <v>411</v>
      </c>
      <c r="D218" t="s">
        <v>411</v>
      </c>
      <c r="E218" t="s">
        <v>412</v>
      </c>
      <c r="F218" t="s">
        <v>334</v>
      </c>
      <c r="G218">
        <v>5574</v>
      </c>
      <c r="H218" t="s">
        <v>1231</v>
      </c>
      <c r="I218" t="s">
        <v>1333</v>
      </c>
      <c r="J218">
        <v>4078</v>
      </c>
      <c r="K218" t="s">
        <v>1287</v>
      </c>
      <c r="L218" s="1">
        <v>0</v>
      </c>
      <c r="M218" s="1">
        <v>0</v>
      </c>
      <c r="N218" s="1">
        <v>0</v>
      </c>
    </row>
    <row r="219" spans="1:14" x14ac:dyDescent="0.3">
      <c r="A219" t="s">
        <v>1025</v>
      </c>
      <c r="B219" t="s">
        <v>1025</v>
      </c>
      <c r="C219" t="s">
        <v>413</v>
      </c>
      <c r="D219" t="s">
        <v>413</v>
      </c>
      <c r="E219" t="s">
        <v>414</v>
      </c>
      <c r="F219" t="s">
        <v>334</v>
      </c>
      <c r="G219">
        <v>5574</v>
      </c>
      <c r="H219" t="s">
        <v>1231</v>
      </c>
      <c r="I219" t="s">
        <v>1332</v>
      </c>
      <c r="J219">
        <v>3985</v>
      </c>
      <c r="K219" t="s">
        <v>1287</v>
      </c>
      <c r="L219" s="1">
        <v>45</v>
      </c>
      <c r="M219" s="1">
        <f>N219-L219</f>
        <v>18</v>
      </c>
      <c r="N219" s="1">
        <v>63</v>
      </c>
    </row>
    <row r="220" spans="1:14" x14ac:dyDescent="0.3">
      <c r="A220" t="s">
        <v>1026</v>
      </c>
      <c r="B220" t="s">
        <v>1026</v>
      </c>
      <c r="C220" t="s">
        <v>415</v>
      </c>
      <c r="D220" t="s">
        <v>415</v>
      </c>
      <c r="E220" t="s">
        <v>416</v>
      </c>
      <c r="F220" t="s">
        <v>334</v>
      </c>
      <c r="G220">
        <v>16747.63</v>
      </c>
      <c r="H220" t="s">
        <v>1231</v>
      </c>
      <c r="I220" t="s">
        <v>1237</v>
      </c>
      <c r="J220">
        <v>1</v>
      </c>
      <c r="K220" t="s">
        <v>1287</v>
      </c>
      <c r="L220" s="1">
        <v>0</v>
      </c>
      <c r="M220" s="1">
        <v>0</v>
      </c>
      <c r="N220" s="1">
        <v>0</v>
      </c>
    </row>
    <row r="221" spans="1:14" x14ac:dyDescent="0.3">
      <c r="A221" t="s">
        <v>1027</v>
      </c>
      <c r="B221" t="s">
        <v>1027</v>
      </c>
      <c r="C221" t="s">
        <v>417</v>
      </c>
      <c r="D221" t="s">
        <v>417</v>
      </c>
      <c r="E221" t="s">
        <v>418</v>
      </c>
      <c r="F221" t="s">
        <v>334</v>
      </c>
      <c r="G221">
        <v>6190</v>
      </c>
      <c r="H221" t="s">
        <v>1231</v>
      </c>
      <c r="I221" t="s">
        <v>1333</v>
      </c>
      <c r="J221">
        <v>1495</v>
      </c>
      <c r="K221" t="s">
        <v>1287</v>
      </c>
      <c r="L221" s="1">
        <v>0</v>
      </c>
      <c r="M221" s="1">
        <v>0</v>
      </c>
      <c r="N221" s="1">
        <v>0</v>
      </c>
    </row>
    <row r="222" spans="1:14" x14ac:dyDescent="0.3">
      <c r="A222" t="s">
        <v>1028</v>
      </c>
      <c r="B222" t="s">
        <v>1028</v>
      </c>
      <c r="C222" t="s">
        <v>419</v>
      </c>
      <c r="D222" t="s">
        <v>419</v>
      </c>
      <c r="E222" t="s">
        <v>420</v>
      </c>
      <c r="F222" t="s">
        <v>334</v>
      </c>
      <c r="G222">
        <v>6190</v>
      </c>
      <c r="H222" t="s">
        <v>1231</v>
      </c>
      <c r="I222" t="s">
        <v>1333</v>
      </c>
      <c r="J222">
        <v>1420</v>
      </c>
      <c r="K222" t="s">
        <v>1287</v>
      </c>
      <c r="L222" s="1">
        <v>0</v>
      </c>
      <c r="M222" s="1">
        <v>0</v>
      </c>
      <c r="N222" s="1">
        <v>0</v>
      </c>
    </row>
    <row r="223" spans="1:14" x14ac:dyDescent="0.3">
      <c r="A223" t="s">
        <v>1029</v>
      </c>
      <c r="B223" t="s">
        <v>1029</v>
      </c>
      <c r="C223" t="s">
        <v>421</v>
      </c>
      <c r="D223" t="s">
        <v>421</v>
      </c>
      <c r="E223" t="s">
        <v>422</v>
      </c>
      <c r="F223" t="s">
        <v>334</v>
      </c>
      <c r="G223">
        <v>4684.68</v>
      </c>
      <c r="H223" t="s">
        <v>1231</v>
      </c>
      <c r="I223" t="s">
        <v>1332</v>
      </c>
      <c r="J223">
        <v>27600</v>
      </c>
      <c r="K223" t="s">
        <v>1288</v>
      </c>
      <c r="L223" s="1">
        <v>45</v>
      </c>
      <c r="M223" s="1">
        <f t="shared" ref="M223:M230" si="15">N223-L223</f>
        <v>28</v>
      </c>
      <c r="N223" s="1">
        <v>73</v>
      </c>
    </row>
    <row r="224" spans="1:14" x14ac:dyDescent="0.3">
      <c r="A224" t="s">
        <v>1030</v>
      </c>
      <c r="B224" t="s">
        <v>1030</v>
      </c>
      <c r="C224" t="s">
        <v>423</v>
      </c>
      <c r="D224" t="s">
        <v>423</v>
      </c>
      <c r="E224" t="s">
        <v>424</v>
      </c>
      <c r="F224" t="s">
        <v>334</v>
      </c>
      <c r="G224">
        <v>4684.68</v>
      </c>
      <c r="H224" t="s">
        <v>1231</v>
      </c>
      <c r="I224" t="s">
        <v>1332</v>
      </c>
      <c r="J224">
        <v>27600</v>
      </c>
      <c r="K224" t="s">
        <v>1288</v>
      </c>
      <c r="L224" s="1">
        <v>45</v>
      </c>
      <c r="M224" s="1">
        <f t="shared" si="15"/>
        <v>30</v>
      </c>
      <c r="N224" s="1">
        <v>75</v>
      </c>
    </row>
    <row r="225" spans="1:14" x14ac:dyDescent="0.3">
      <c r="A225" t="s">
        <v>1031</v>
      </c>
      <c r="B225" t="s">
        <v>1322</v>
      </c>
      <c r="C225" t="s">
        <v>425</v>
      </c>
      <c r="D225" t="s">
        <v>1268</v>
      </c>
      <c r="E225" t="s">
        <v>426</v>
      </c>
      <c r="F225" t="s">
        <v>334</v>
      </c>
      <c r="G225">
        <v>21728.82</v>
      </c>
      <c r="H225" t="s">
        <v>1231</v>
      </c>
      <c r="I225" t="s">
        <v>1332</v>
      </c>
      <c r="J225">
        <v>646</v>
      </c>
      <c r="K225" t="s">
        <v>1287</v>
      </c>
      <c r="L225" s="1">
        <v>45</v>
      </c>
      <c r="M225" s="1">
        <f t="shared" si="15"/>
        <v>15</v>
      </c>
      <c r="N225" s="1">
        <v>60</v>
      </c>
    </row>
    <row r="226" spans="1:14" x14ac:dyDescent="0.3">
      <c r="A226" t="s">
        <v>1032</v>
      </c>
      <c r="B226" t="s">
        <v>1032</v>
      </c>
      <c r="C226" t="s">
        <v>427</v>
      </c>
      <c r="D226" t="s">
        <v>427</v>
      </c>
      <c r="E226" t="s">
        <v>428</v>
      </c>
      <c r="F226" t="s">
        <v>334</v>
      </c>
      <c r="G226">
        <v>20691</v>
      </c>
      <c r="H226" t="s">
        <v>1231</v>
      </c>
      <c r="I226" t="s">
        <v>1332</v>
      </c>
      <c r="J226">
        <v>629</v>
      </c>
      <c r="K226" t="s">
        <v>1287</v>
      </c>
      <c r="L226" s="1">
        <v>45</v>
      </c>
      <c r="M226" s="1">
        <f t="shared" si="15"/>
        <v>17</v>
      </c>
      <c r="N226" s="1">
        <v>62</v>
      </c>
    </row>
    <row r="227" spans="1:14" x14ac:dyDescent="0.3">
      <c r="A227" t="s">
        <v>1033</v>
      </c>
      <c r="B227" t="s">
        <v>1323</v>
      </c>
      <c r="C227" t="s">
        <v>429</v>
      </c>
      <c r="D227" t="s">
        <v>1269</v>
      </c>
      <c r="E227" t="s">
        <v>430</v>
      </c>
      <c r="F227" t="s">
        <v>334</v>
      </c>
      <c r="G227">
        <v>2306.6999999999998</v>
      </c>
      <c r="H227" t="s">
        <v>1231</v>
      </c>
      <c r="I227" t="s">
        <v>1332</v>
      </c>
      <c r="J227">
        <v>6468</v>
      </c>
      <c r="K227" t="s">
        <v>1287</v>
      </c>
      <c r="L227" s="1">
        <v>45</v>
      </c>
      <c r="M227" s="1">
        <f t="shared" si="15"/>
        <v>18</v>
      </c>
      <c r="N227" s="1">
        <v>63</v>
      </c>
    </row>
    <row r="228" spans="1:14" x14ac:dyDescent="0.3">
      <c r="A228" t="s">
        <v>1034</v>
      </c>
      <c r="B228" t="s">
        <v>1034</v>
      </c>
      <c r="C228" t="s">
        <v>431</v>
      </c>
      <c r="D228" t="s">
        <v>431</v>
      </c>
      <c r="E228" t="s">
        <v>432</v>
      </c>
      <c r="F228" t="s">
        <v>334</v>
      </c>
      <c r="G228">
        <v>1987</v>
      </c>
      <c r="H228" t="s">
        <v>1231</v>
      </c>
      <c r="I228" t="s">
        <v>1332</v>
      </c>
      <c r="J228">
        <v>6291</v>
      </c>
      <c r="K228" t="s">
        <v>1287</v>
      </c>
      <c r="L228" s="1">
        <v>45</v>
      </c>
      <c r="M228" s="1">
        <f t="shared" si="15"/>
        <v>15</v>
      </c>
      <c r="N228" s="1">
        <v>60</v>
      </c>
    </row>
    <row r="229" spans="1:14" x14ac:dyDescent="0.3">
      <c r="A229" t="s">
        <v>1035</v>
      </c>
      <c r="B229" t="s">
        <v>1035</v>
      </c>
      <c r="C229" t="s">
        <v>433</v>
      </c>
      <c r="D229" t="s">
        <v>433</v>
      </c>
      <c r="E229" t="s">
        <v>434</v>
      </c>
      <c r="F229" t="s">
        <v>334</v>
      </c>
      <c r="G229">
        <v>3217.5</v>
      </c>
      <c r="H229" t="s">
        <v>1231</v>
      </c>
      <c r="I229" t="s">
        <v>1332</v>
      </c>
      <c r="J229">
        <v>1021</v>
      </c>
      <c r="K229" t="s">
        <v>1287</v>
      </c>
      <c r="L229" s="1">
        <v>45</v>
      </c>
      <c r="M229" s="1">
        <f t="shared" si="15"/>
        <v>15</v>
      </c>
      <c r="N229" s="1">
        <v>60</v>
      </c>
    </row>
    <row r="230" spans="1:14" x14ac:dyDescent="0.3">
      <c r="A230" t="s">
        <v>1036</v>
      </c>
      <c r="B230" t="s">
        <v>1036</v>
      </c>
      <c r="C230" t="s">
        <v>435</v>
      </c>
      <c r="D230" t="s">
        <v>435</v>
      </c>
      <c r="E230" t="s">
        <v>436</v>
      </c>
      <c r="F230" t="s">
        <v>334</v>
      </c>
      <c r="G230">
        <v>3217.5</v>
      </c>
      <c r="H230" t="s">
        <v>1231</v>
      </c>
      <c r="I230" t="s">
        <v>1332</v>
      </c>
      <c r="J230">
        <v>1014</v>
      </c>
      <c r="K230" t="s">
        <v>1287</v>
      </c>
      <c r="L230" s="1">
        <v>45</v>
      </c>
      <c r="M230" s="1">
        <f t="shared" si="15"/>
        <v>15</v>
      </c>
      <c r="N230" s="1">
        <v>60</v>
      </c>
    </row>
    <row r="231" spans="1:14" x14ac:dyDescent="0.3">
      <c r="A231" t="s">
        <v>1037</v>
      </c>
      <c r="B231" t="s">
        <v>1037</v>
      </c>
      <c r="C231" t="s">
        <v>437</v>
      </c>
      <c r="D231" t="s">
        <v>437</v>
      </c>
      <c r="E231" t="s">
        <v>438</v>
      </c>
      <c r="F231" t="s">
        <v>334</v>
      </c>
      <c r="G231">
        <v>3217.5</v>
      </c>
      <c r="H231" t="s">
        <v>1231</v>
      </c>
      <c r="I231" t="s">
        <v>1333</v>
      </c>
      <c r="J231">
        <v>1023</v>
      </c>
      <c r="K231" t="s">
        <v>1287</v>
      </c>
      <c r="L231" s="1">
        <v>0</v>
      </c>
      <c r="M231" s="1">
        <v>0</v>
      </c>
      <c r="N231" s="1">
        <v>0</v>
      </c>
    </row>
    <row r="232" spans="1:14" x14ac:dyDescent="0.3">
      <c r="A232" t="s">
        <v>1038</v>
      </c>
      <c r="B232" t="s">
        <v>1328</v>
      </c>
      <c r="C232" t="s">
        <v>439</v>
      </c>
      <c r="D232" t="s">
        <v>1270</v>
      </c>
      <c r="E232" t="s">
        <v>440</v>
      </c>
      <c r="F232" t="s">
        <v>334</v>
      </c>
      <c r="G232">
        <v>726</v>
      </c>
      <c r="H232" t="s">
        <v>1231</v>
      </c>
      <c r="I232" t="s">
        <v>1332</v>
      </c>
      <c r="J232">
        <v>5989</v>
      </c>
      <c r="K232" t="s">
        <v>1287</v>
      </c>
      <c r="L232" s="1">
        <v>45</v>
      </c>
      <c r="M232" s="1">
        <f t="shared" ref="M232:M235" si="16">N232-L232</f>
        <v>15</v>
      </c>
      <c r="N232" s="1">
        <v>60</v>
      </c>
    </row>
    <row r="233" spans="1:14" x14ac:dyDescent="0.3">
      <c r="A233" t="s">
        <v>1039</v>
      </c>
      <c r="B233" t="s">
        <v>1329</v>
      </c>
      <c r="C233" t="s">
        <v>441</v>
      </c>
      <c r="D233" t="s">
        <v>1271</v>
      </c>
      <c r="E233" t="s">
        <v>442</v>
      </c>
      <c r="F233" t="s">
        <v>334</v>
      </c>
      <c r="G233">
        <v>742.5</v>
      </c>
      <c r="H233" t="s">
        <v>1231</v>
      </c>
      <c r="I233" t="s">
        <v>1332</v>
      </c>
      <c r="J233">
        <v>5944</v>
      </c>
      <c r="K233" t="s">
        <v>1287</v>
      </c>
      <c r="L233" s="1">
        <v>45</v>
      </c>
      <c r="M233" s="1">
        <f t="shared" si="16"/>
        <v>18</v>
      </c>
      <c r="N233" s="1">
        <v>63</v>
      </c>
    </row>
    <row r="234" spans="1:14" x14ac:dyDescent="0.3">
      <c r="A234" t="s">
        <v>1040</v>
      </c>
      <c r="B234" t="s">
        <v>1330</v>
      </c>
      <c r="C234" t="s">
        <v>443</v>
      </c>
      <c r="D234" t="s">
        <v>1272</v>
      </c>
      <c r="E234" t="s">
        <v>444</v>
      </c>
      <c r="F234" t="s">
        <v>334</v>
      </c>
      <c r="G234">
        <v>1504.8</v>
      </c>
      <c r="H234" t="s">
        <v>1231</v>
      </c>
      <c r="I234" t="s">
        <v>1332</v>
      </c>
      <c r="J234">
        <v>2738</v>
      </c>
      <c r="K234" t="s">
        <v>1287</v>
      </c>
      <c r="L234" s="1">
        <v>45</v>
      </c>
      <c r="M234" s="1">
        <f t="shared" si="16"/>
        <v>15</v>
      </c>
      <c r="N234" s="1">
        <v>60</v>
      </c>
    </row>
    <row r="235" spans="1:14" x14ac:dyDescent="0.3">
      <c r="A235" t="s">
        <v>1041</v>
      </c>
      <c r="B235" t="s">
        <v>1331</v>
      </c>
      <c r="C235" t="s">
        <v>445</v>
      </c>
      <c r="D235" t="s">
        <v>1273</v>
      </c>
      <c r="E235" t="s">
        <v>446</v>
      </c>
      <c r="F235" t="s">
        <v>334</v>
      </c>
      <c r="G235">
        <v>1504.8</v>
      </c>
      <c r="H235" t="s">
        <v>1231</v>
      </c>
      <c r="I235" t="s">
        <v>1332</v>
      </c>
      <c r="J235">
        <v>2717</v>
      </c>
      <c r="K235" t="s">
        <v>1287</v>
      </c>
      <c r="L235" s="1">
        <v>45</v>
      </c>
      <c r="M235" s="1">
        <f t="shared" si="16"/>
        <v>15</v>
      </c>
      <c r="N235" s="1">
        <v>60</v>
      </c>
    </row>
    <row r="236" spans="1:14" x14ac:dyDescent="0.3">
      <c r="A236" t="s">
        <v>1042</v>
      </c>
      <c r="B236" t="s">
        <v>1042</v>
      </c>
      <c r="C236" t="s">
        <v>447</v>
      </c>
      <c r="D236" t="s">
        <v>447</v>
      </c>
      <c r="E236" t="s">
        <v>448</v>
      </c>
      <c r="F236" t="s">
        <v>334</v>
      </c>
      <c r="G236">
        <v>722.7</v>
      </c>
      <c r="H236" t="s">
        <v>1231</v>
      </c>
      <c r="I236" t="s">
        <v>1333</v>
      </c>
      <c r="J236">
        <v>12250</v>
      </c>
      <c r="K236" t="s">
        <v>1286</v>
      </c>
      <c r="L236" s="1">
        <v>0</v>
      </c>
      <c r="M236" s="1">
        <v>0</v>
      </c>
      <c r="N236" s="1">
        <v>0</v>
      </c>
    </row>
    <row r="237" spans="1:14" x14ac:dyDescent="0.3">
      <c r="A237" t="s">
        <v>1043</v>
      </c>
      <c r="B237" t="s">
        <v>1043</v>
      </c>
      <c r="C237" t="s">
        <v>449</v>
      </c>
      <c r="D237" t="s">
        <v>449</v>
      </c>
      <c r="E237" t="s">
        <v>450</v>
      </c>
      <c r="F237" t="s">
        <v>334</v>
      </c>
      <c r="G237">
        <v>722.7</v>
      </c>
      <c r="H237" t="s">
        <v>1231</v>
      </c>
      <c r="I237" t="s">
        <v>1333</v>
      </c>
      <c r="J237">
        <v>12250</v>
      </c>
      <c r="K237" t="s">
        <v>1286</v>
      </c>
      <c r="L237" s="1">
        <v>0</v>
      </c>
      <c r="M237" s="1">
        <v>0</v>
      </c>
      <c r="N237" s="1">
        <v>0</v>
      </c>
    </row>
    <row r="238" spans="1:14" x14ac:dyDescent="0.3">
      <c r="A238" t="s">
        <v>1044</v>
      </c>
      <c r="B238" t="s">
        <v>1044</v>
      </c>
      <c r="C238" t="s">
        <v>451</v>
      </c>
      <c r="D238" t="s">
        <v>451</v>
      </c>
      <c r="E238" t="s">
        <v>452</v>
      </c>
      <c r="F238" t="s">
        <v>334</v>
      </c>
      <c r="G238">
        <v>722.7</v>
      </c>
      <c r="H238" t="s">
        <v>1231</v>
      </c>
      <c r="I238" t="s">
        <v>1333</v>
      </c>
      <c r="J238">
        <v>12250</v>
      </c>
      <c r="K238" t="s">
        <v>1286</v>
      </c>
      <c r="L238" s="1">
        <v>0</v>
      </c>
      <c r="M238" s="1">
        <v>0</v>
      </c>
      <c r="N238" s="1">
        <v>0</v>
      </c>
    </row>
    <row r="239" spans="1:14" x14ac:dyDescent="0.3">
      <c r="A239" t="s">
        <v>1045</v>
      </c>
      <c r="B239" t="s">
        <v>1324</v>
      </c>
      <c r="C239" t="s">
        <v>453</v>
      </c>
      <c r="D239" t="s">
        <v>1274</v>
      </c>
      <c r="E239" t="s">
        <v>454</v>
      </c>
      <c r="F239" t="s">
        <v>334</v>
      </c>
      <c r="G239">
        <v>722</v>
      </c>
      <c r="H239" t="s">
        <v>1231</v>
      </c>
      <c r="I239" t="s">
        <v>1333</v>
      </c>
      <c r="J239">
        <v>12250</v>
      </c>
      <c r="K239" t="s">
        <v>1286</v>
      </c>
      <c r="L239" s="1">
        <v>0</v>
      </c>
      <c r="M239" s="1">
        <v>0</v>
      </c>
      <c r="N239" s="1">
        <v>0</v>
      </c>
    </row>
    <row r="240" spans="1:14" x14ac:dyDescent="0.3">
      <c r="A240" t="s">
        <v>1046</v>
      </c>
      <c r="B240" t="s">
        <v>1046</v>
      </c>
      <c r="C240" t="s">
        <v>455</v>
      </c>
      <c r="D240" t="s">
        <v>455</v>
      </c>
      <c r="E240" t="s">
        <v>456</v>
      </c>
      <c r="F240" t="s">
        <v>504</v>
      </c>
      <c r="G240">
        <v>702.79</v>
      </c>
      <c r="H240" t="s">
        <v>1232</v>
      </c>
      <c r="I240" t="s">
        <v>1236</v>
      </c>
      <c r="J240">
        <v>8400</v>
      </c>
      <c r="K240" t="s">
        <v>1282</v>
      </c>
      <c r="L240" s="1">
        <v>45</v>
      </c>
      <c r="M240" s="1">
        <f t="shared" ref="M240:M245" si="17">N240-L240</f>
        <v>17</v>
      </c>
      <c r="N240" s="1">
        <v>62</v>
      </c>
    </row>
    <row r="241" spans="1:14" x14ac:dyDescent="0.3">
      <c r="A241" t="s">
        <v>1047</v>
      </c>
      <c r="B241" t="s">
        <v>1047</v>
      </c>
      <c r="C241" t="s">
        <v>457</v>
      </c>
      <c r="D241" t="s">
        <v>457</v>
      </c>
      <c r="E241" t="s">
        <v>458</v>
      </c>
      <c r="F241" t="s">
        <v>334</v>
      </c>
      <c r="G241">
        <v>5445</v>
      </c>
      <c r="H241" t="s">
        <v>1231</v>
      </c>
      <c r="I241" t="s">
        <v>1332</v>
      </c>
      <c r="J241">
        <v>19128</v>
      </c>
      <c r="K241" t="s">
        <v>1287</v>
      </c>
      <c r="L241" s="1">
        <v>45</v>
      </c>
      <c r="M241" s="1">
        <f t="shared" si="17"/>
        <v>16</v>
      </c>
      <c r="N241" s="1">
        <v>61</v>
      </c>
    </row>
    <row r="242" spans="1:14" x14ac:dyDescent="0.3">
      <c r="A242" t="s">
        <v>1048</v>
      </c>
      <c r="B242" t="s">
        <v>1048</v>
      </c>
      <c r="C242" t="s">
        <v>459</v>
      </c>
      <c r="D242" t="s">
        <v>459</v>
      </c>
      <c r="E242" t="s">
        <v>460</v>
      </c>
      <c r="F242" t="s">
        <v>334</v>
      </c>
      <c r="G242">
        <v>2940</v>
      </c>
      <c r="H242" t="s">
        <v>1231</v>
      </c>
      <c r="I242" t="s">
        <v>1332</v>
      </c>
      <c r="J242">
        <v>21833</v>
      </c>
      <c r="K242" t="s">
        <v>1287</v>
      </c>
      <c r="L242" s="1">
        <v>45</v>
      </c>
      <c r="M242" s="1">
        <f t="shared" si="17"/>
        <v>15</v>
      </c>
      <c r="N242" s="1">
        <v>60</v>
      </c>
    </row>
    <row r="243" spans="1:14" x14ac:dyDescent="0.3">
      <c r="A243" t="s">
        <v>1049</v>
      </c>
      <c r="B243" t="s">
        <v>1049</v>
      </c>
      <c r="C243" t="s">
        <v>461</v>
      </c>
      <c r="D243" t="s">
        <v>461</v>
      </c>
      <c r="E243" t="s">
        <v>462</v>
      </c>
      <c r="F243" t="s">
        <v>334</v>
      </c>
      <c r="G243">
        <v>2940</v>
      </c>
      <c r="H243" t="s">
        <v>1231</v>
      </c>
      <c r="I243" t="s">
        <v>1332</v>
      </c>
      <c r="J243">
        <v>21289</v>
      </c>
      <c r="K243" t="s">
        <v>1287</v>
      </c>
      <c r="L243" s="1">
        <v>45</v>
      </c>
      <c r="M243" s="1">
        <f t="shared" si="17"/>
        <v>15</v>
      </c>
      <c r="N243" s="1">
        <v>60</v>
      </c>
    </row>
    <row r="244" spans="1:14" x14ac:dyDescent="0.3">
      <c r="A244" t="s">
        <v>1050</v>
      </c>
      <c r="B244" t="s">
        <v>1050</v>
      </c>
      <c r="C244" t="s">
        <v>463</v>
      </c>
      <c r="D244" t="s">
        <v>463</v>
      </c>
      <c r="E244" t="s">
        <v>464</v>
      </c>
      <c r="F244" t="s">
        <v>334</v>
      </c>
      <c r="G244">
        <v>2940</v>
      </c>
      <c r="H244" t="s">
        <v>1231</v>
      </c>
      <c r="I244" t="s">
        <v>1332</v>
      </c>
      <c r="J244">
        <v>21781</v>
      </c>
      <c r="K244" t="s">
        <v>1287</v>
      </c>
      <c r="L244" s="1">
        <v>45</v>
      </c>
      <c r="M244" s="1">
        <f t="shared" si="17"/>
        <v>16</v>
      </c>
      <c r="N244" s="1">
        <v>61</v>
      </c>
    </row>
    <row r="245" spans="1:14" x14ac:dyDescent="0.3">
      <c r="A245" t="s">
        <v>1051</v>
      </c>
      <c r="B245" t="s">
        <v>1051</v>
      </c>
      <c r="C245" t="s">
        <v>465</v>
      </c>
      <c r="D245" t="s">
        <v>465</v>
      </c>
      <c r="E245" t="s">
        <v>466</v>
      </c>
      <c r="F245" t="s">
        <v>334</v>
      </c>
      <c r="G245">
        <v>3752.1</v>
      </c>
      <c r="H245" t="s">
        <v>1231</v>
      </c>
      <c r="I245" t="s">
        <v>1332</v>
      </c>
      <c r="J245">
        <v>8092</v>
      </c>
      <c r="K245" t="s">
        <v>1287</v>
      </c>
      <c r="L245" s="1">
        <v>45</v>
      </c>
      <c r="M245" s="1">
        <f t="shared" si="17"/>
        <v>15</v>
      </c>
      <c r="N245" s="1">
        <v>60</v>
      </c>
    </row>
    <row r="246" spans="1:14" x14ac:dyDescent="0.3">
      <c r="A246" t="s">
        <v>1052</v>
      </c>
      <c r="B246" t="s">
        <v>1052</v>
      </c>
      <c r="C246" t="s">
        <v>467</v>
      </c>
      <c r="D246" t="s">
        <v>467</v>
      </c>
      <c r="E246" t="s">
        <v>468</v>
      </c>
      <c r="F246" t="s">
        <v>334</v>
      </c>
      <c r="G246">
        <v>4692.6000000000004</v>
      </c>
      <c r="H246" t="s">
        <v>1231</v>
      </c>
      <c r="I246" t="s">
        <v>1333</v>
      </c>
      <c r="J246">
        <v>7245</v>
      </c>
      <c r="K246" t="s">
        <v>1287</v>
      </c>
      <c r="L246" s="1">
        <v>0</v>
      </c>
      <c r="M246" s="1">
        <v>0</v>
      </c>
      <c r="N246" s="1">
        <v>0</v>
      </c>
    </row>
    <row r="247" spans="1:14" x14ac:dyDescent="0.3">
      <c r="A247" t="s">
        <v>1053</v>
      </c>
      <c r="B247" t="s">
        <v>1053</v>
      </c>
      <c r="C247" t="s">
        <v>469</v>
      </c>
      <c r="D247" t="s">
        <v>469</v>
      </c>
      <c r="E247" t="s">
        <v>470</v>
      </c>
      <c r="F247" t="s">
        <v>334</v>
      </c>
      <c r="G247">
        <v>3752.1</v>
      </c>
      <c r="H247" t="s">
        <v>1231</v>
      </c>
      <c r="I247" t="s">
        <v>1332</v>
      </c>
      <c r="J247">
        <v>7482</v>
      </c>
      <c r="K247" t="s">
        <v>1287</v>
      </c>
      <c r="L247" s="1">
        <v>45</v>
      </c>
      <c r="M247" s="1">
        <f>N247-L247</f>
        <v>16</v>
      </c>
      <c r="N247" s="1">
        <v>61</v>
      </c>
    </row>
    <row r="248" spans="1:14" x14ac:dyDescent="0.3">
      <c r="A248" t="s">
        <v>1054</v>
      </c>
      <c r="B248" t="s">
        <v>1054</v>
      </c>
      <c r="C248" t="s">
        <v>471</v>
      </c>
      <c r="D248" t="s">
        <v>471</v>
      </c>
      <c r="E248" t="s">
        <v>472</v>
      </c>
      <c r="F248" t="s">
        <v>334</v>
      </c>
      <c r="G248">
        <v>12215.02</v>
      </c>
      <c r="H248" t="s">
        <v>1231</v>
      </c>
      <c r="I248" t="s">
        <v>1237</v>
      </c>
      <c r="J248">
        <v>1</v>
      </c>
      <c r="K248" t="s">
        <v>1287</v>
      </c>
      <c r="L248" s="1">
        <v>0</v>
      </c>
      <c r="M248" s="1">
        <v>0</v>
      </c>
      <c r="N248" s="1">
        <v>0</v>
      </c>
    </row>
    <row r="249" spans="1:14" x14ac:dyDescent="0.3">
      <c r="A249" t="s">
        <v>1368</v>
      </c>
      <c r="B249" t="s">
        <v>1055</v>
      </c>
      <c r="C249" t="s">
        <v>1357</v>
      </c>
      <c r="D249" t="s">
        <v>473</v>
      </c>
      <c r="E249" t="s">
        <v>1361</v>
      </c>
      <c r="F249" t="s">
        <v>334</v>
      </c>
      <c r="G249">
        <v>780</v>
      </c>
      <c r="H249" t="s">
        <v>1231</v>
      </c>
      <c r="I249" t="s">
        <v>1332</v>
      </c>
      <c r="J249">
        <v>13308</v>
      </c>
      <c r="K249" t="s">
        <v>1287</v>
      </c>
      <c r="L249" s="1">
        <v>45</v>
      </c>
      <c r="M249" s="1">
        <f>N249-L249</f>
        <v>15</v>
      </c>
      <c r="N249" s="1">
        <v>60</v>
      </c>
    </row>
    <row r="250" spans="1:14" x14ac:dyDescent="0.3">
      <c r="A250" t="s">
        <v>1056</v>
      </c>
      <c r="B250" t="s">
        <v>1056</v>
      </c>
      <c r="C250" t="s">
        <v>474</v>
      </c>
      <c r="D250" t="s">
        <v>474</v>
      </c>
      <c r="E250" t="s">
        <v>475</v>
      </c>
      <c r="F250" t="s">
        <v>334</v>
      </c>
      <c r="G250">
        <v>780</v>
      </c>
      <c r="H250" t="s">
        <v>1231</v>
      </c>
      <c r="I250" t="s">
        <v>1333</v>
      </c>
      <c r="J250">
        <v>16072</v>
      </c>
      <c r="K250" t="s">
        <v>1287</v>
      </c>
      <c r="L250" s="1">
        <v>0</v>
      </c>
      <c r="M250" s="1">
        <v>0</v>
      </c>
      <c r="N250" s="1">
        <v>0</v>
      </c>
    </row>
    <row r="251" spans="1:14" x14ac:dyDescent="0.3">
      <c r="A251" t="s">
        <v>1057</v>
      </c>
      <c r="B251" t="s">
        <v>1057</v>
      </c>
      <c r="C251" t="s">
        <v>476</v>
      </c>
      <c r="D251" t="s">
        <v>476</v>
      </c>
      <c r="E251" t="s">
        <v>477</v>
      </c>
      <c r="F251" t="s">
        <v>334</v>
      </c>
      <c r="G251">
        <v>780</v>
      </c>
      <c r="H251" t="s">
        <v>1231</v>
      </c>
      <c r="I251" t="s">
        <v>1333</v>
      </c>
      <c r="J251">
        <v>13857</v>
      </c>
      <c r="K251" t="s">
        <v>1287</v>
      </c>
      <c r="L251" s="1">
        <v>0</v>
      </c>
      <c r="M251" s="1">
        <v>0</v>
      </c>
      <c r="N251" s="1">
        <v>0</v>
      </c>
    </row>
    <row r="252" spans="1:14" x14ac:dyDescent="0.3">
      <c r="A252" t="s">
        <v>1365</v>
      </c>
      <c r="B252" t="s">
        <v>1058</v>
      </c>
      <c r="C252" t="s">
        <v>1358</v>
      </c>
      <c r="D252" t="s">
        <v>478</v>
      </c>
      <c r="E252" t="s">
        <v>1362</v>
      </c>
      <c r="F252" t="s">
        <v>334</v>
      </c>
      <c r="G252">
        <v>780</v>
      </c>
      <c r="H252" t="s">
        <v>1231</v>
      </c>
      <c r="I252" t="s">
        <v>1332</v>
      </c>
      <c r="J252">
        <v>17082</v>
      </c>
      <c r="K252" t="s">
        <v>1287</v>
      </c>
      <c r="L252" s="1">
        <v>45</v>
      </c>
      <c r="M252" s="1">
        <f t="shared" ref="M252:M262" si="18">N252-L252</f>
        <v>15</v>
      </c>
      <c r="N252" s="1">
        <v>60</v>
      </c>
    </row>
    <row r="253" spans="1:14" x14ac:dyDescent="0.3">
      <c r="A253" t="s">
        <v>1366</v>
      </c>
      <c r="B253" t="s">
        <v>1325</v>
      </c>
      <c r="C253" t="s">
        <v>1359</v>
      </c>
      <c r="D253" t="s">
        <v>1275</v>
      </c>
      <c r="E253" t="s">
        <v>1363</v>
      </c>
      <c r="F253" t="s">
        <v>334</v>
      </c>
      <c r="G253">
        <v>780</v>
      </c>
      <c r="H253" t="s">
        <v>1231</v>
      </c>
      <c r="I253" t="s">
        <v>1332</v>
      </c>
      <c r="J253">
        <v>15974</v>
      </c>
      <c r="K253" t="s">
        <v>1287</v>
      </c>
      <c r="L253" s="1">
        <v>45</v>
      </c>
      <c r="M253" s="1">
        <f t="shared" si="18"/>
        <v>15</v>
      </c>
      <c r="N253" s="1">
        <v>60</v>
      </c>
    </row>
    <row r="254" spans="1:14" x14ac:dyDescent="0.3">
      <c r="A254" t="s">
        <v>1367</v>
      </c>
      <c r="B254" t="s">
        <v>1059</v>
      </c>
      <c r="C254" t="s">
        <v>1360</v>
      </c>
      <c r="D254" t="s">
        <v>479</v>
      </c>
      <c r="E254" t="s">
        <v>1364</v>
      </c>
      <c r="F254" t="s">
        <v>334</v>
      </c>
      <c r="G254">
        <v>780</v>
      </c>
      <c r="H254" t="s">
        <v>1231</v>
      </c>
      <c r="I254" t="s">
        <v>1332</v>
      </c>
      <c r="J254">
        <v>17250</v>
      </c>
      <c r="K254" t="s">
        <v>1287</v>
      </c>
      <c r="L254" s="1">
        <v>45</v>
      </c>
      <c r="M254" s="1">
        <f t="shared" si="18"/>
        <v>15</v>
      </c>
      <c r="N254" s="1">
        <v>60</v>
      </c>
    </row>
    <row r="255" spans="1:14" x14ac:dyDescent="0.3">
      <c r="A255" t="s">
        <v>1060</v>
      </c>
      <c r="B255" t="s">
        <v>1060</v>
      </c>
      <c r="C255" t="s">
        <v>480</v>
      </c>
      <c r="D255" t="s">
        <v>480</v>
      </c>
      <c r="E255" t="s">
        <v>481</v>
      </c>
      <c r="F255" t="s">
        <v>334</v>
      </c>
      <c r="G255">
        <v>2011</v>
      </c>
      <c r="H255" t="s">
        <v>1231</v>
      </c>
      <c r="I255" t="s">
        <v>1332</v>
      </c>
      <c r="J255">
        <v>10249</v>
      </c>
      <c r="K255" t="s">
        <v>1287</v>
      </c>
      <c r="L255" s="1">
        <v>45</v>
      </c>
      <c r="M255" s="1">
        <f t="shared" si="18"/>
        <v>15</v>
      </c>
      <c r="N255" s="1">
        <v>60</v>
      </c>
    </row>
    <row r="256" spans="1:14" x14ac:dyDescent="0.3">
      <c r="A256" t="s">
        <v>1061</v>
      </c>
      <c r="B256" t="s">
        <v>1326</v>
      </c>
      <c r="C256" t="s">
        <v>482</v>
      </c>
      <c r="D256" t="s">
        <v>1276</v>
      </c>
      <c r="E256" t="s">
        <v>483</v>
      </c>
      <c r="F256" t="s">
        <v>334</v>
      </c>
      <c r="G256">
        <v>2011</v>
      </c>
      <c r="H256" t="s">
        <v>1231</v>
      </c>
      <c r="I256" t="s">
        <v>1332</v>
      </c>
      <c r="J256">
        <v>9477</v>
      </c>
      <c r="K256" t="s">
        <v>1287</v>
      </c>
      <c r="L256" s="1">
        <v>45</v>
      </c>
      <c r="M256" s="1">
        <f t="shared" si="18"/>
        <v>15</v>
      </c>
      <c r="N256" s="1">
        <v>60</v>
      </c>
    </row>
    <row r="257" spans="1:14" x14ac:dyDescent="0.3">
      <c r="A257" t="s">
        <v>1062</v>
      </c>
      <c r="B257" t="s">
        <v>1062</v>
      </c>
      <c r="C257" t="s">
        <v>484</v>
      </c>
      <c r="D257" t="s">
        <v>484</v>
      </c>
      <c r="E257" t="s">
        <v>485</v>
      </c>
      <c r="F257" t="s">
        <v>334</v>
      </c>
      <c r="G257">
        <v>2011</v>
      </c>
      <c r="H257" t="s">
        <v>1231</v>
      </c>
      <c r="I257" t="s">
        <v>1332</v>
      </c>
      <c r="J257">
        <v>10290</v>
      </c>
      <c r="K257" t="s">
        <v>1287</v>
      </c>
      <c r="L257" s="1">
        <v>45</v>
      </c>
      <c r="M257" s="1">
        <f t="shared" si="18"/>
        <v>15</v>
      </c>
      <c r="N257" s="1">
        <v>60</v>
      </c>
    </row>
    <row r="258" spans="1:14" x14ac:dyDescent="0.3">
      <c r="A258" t="s">
        <v>1063</v>
      </c>
      <c r="B258" t="s">
        <v>1063</v>
      </c>
      <c r="C258" t="s">
        <v>486</v>
      </c>
      <c r="D258" t="s">
        <v>486</v>
      </c>
      <c r="E258" t="s">
        <v>487</v>
      </c>
      <c r="F258" t="s">
        <v>334</v>
      </c>
      <c r="G258">
        <v>2011</v>
      </c>
      <c r="H258" t="s">
        <v>1231</v>
      </c>
      <c r="I258" t="s">
        <v>1332</v>
      </c>
      <c r="J258">
        <v>7985</v>
      </c>
      <c r="K258" t="s">
        <v>1287</v>
      </c>
      <c r="L258" s="1">
        <v>45</v>
      </c>
      <c r="M258" s="1">
        <f t="shared" si="18"/>
        <v>15</v>
      </c>
      <c r="N258" s="1">
        <v>60</v>
      </c>
    </row>
    <row r="259" spans="1:14" x14ac:dyDescent="0.3">
      <c r="A259" t="s">
        <v>1064</v>
      </c>
      <c r="B259" t="s">
        <v>1064</v>
      </c>
      <c r="C259" t="s">
        <v>488</v>
      </c>
      <c r="D259" t="s">
        <v>488</v>
      </c>
      <c r="E259" t="s">
        <v>489</v>
      </c>
      <c r="F259" t="s">
        <v>334</v>
      </c>
      <c r="G259">
        <v>2011</v>
      </c>
      <c r="H259" t="s">
        <v>1231</v>
      </c>
      <c r="I259" t="s">
        <v>1332</v>
      </c>
      <c r="J259">
        <v>9643</v>
      </c>
      <c r="K259" t="s">
        <v>1287</v>
      </c>
      <c r="L259" s="1">
        <v>45</v>
      </c>
      <c r="M259" s="1">
        <f t="shared" si="18"/>
        <v>15</v>
      </c>
      <c r="N259" s="1">
        <v>60</v>
      </c>
    </row>
    <row r="260" spans="1:14" x14ac:dyDescent="0.3">
      <c r="A260" t="s">
        <v>1065</v>
      </c>
      <c r="B260" t="s">
        <v>1065</v>
      </c>
      <c r="C260" t="s">
        <v>490</v>
      </c>
      <c r="D260" t="s">
        <v>490</v>
      </c>
      <c r="E260" t="s">
        <v>491</v>
      </c>
      <c r="F260" t="s">
        <v>334</v>
      </c>
      <c r="G260">
        <v>2011</v>
      </c>
      <c r="H260" t="s">
        <v>1231</v>
      </c>
      <c r="I260" t="s">
        <v>1332</v>
      </c>
      <c r="J260">
        <v>9177</v>
      </c>
      <c r="K260" t="s">
        <v>1287</v>
      </c>
      <c r="L260" s="1">
        <v>45</v>
      </c>
      <c r="M260" s="1">
        <f t="shared" si="18"/>
        <v>15</v>
      </c>
      <c r="N260" s="1">
        <v>60</v>
      </c>
    </row>
    <row r="261" spans="1:14" x14ac:dyDescent="0.3">
      <c r="A261" t="s">
        <v>1066</v>
      </c>
      <c r="B261" t="s">
        <v>1066</v>
      </c>
      <c r="C261" t="s">
        <v>492</v>
      </c>
      <c r="D261" t="s">
        <v>492</v>
      </c>
      <c r="E261" t="s">
        <v>493</v>
      </c>
      <c r="F261" t="s">
        <v>334</v>
      </c>
      <c r="G261">
        <v>2011</v>
      </c>
      <c r="H261" t="s">
        <v>1231</v>
      </c>
      <c r="I261" t="s">
        <v>1332</v>
      </c>
      <c r="J261">
        <v>10407</v>
      </c>
      <c r="K261" t="s">
        <v>1287</v>
      </c>
      <c r="L261" s="1">
        <v>45</v>
      </c>
      <c r="M261" s="1">
        <f t="shared" si="18"/>
        <v>15</v>
      </c>
      <c r="N261" s="1">
        <v>60</v>
      </c>
    </row>
    <row r="262" spans="1:14" x14ac:dyDescent="0.3">
      <c r="A262" t="s">
        <v>1067</v>
      </c>
      <c r="B262" t="s">
        <v>1067</v>
      </c>
      <c r="C262" t="s">
        <v>494</v>
      </c>
      <c r="D262" t="s">
        <v>494</v>
      </c>
      <c r="E262" t="s">
        <v>495</v>
      </c>
      <c r="F262" t="s">
        <v>334</v>
      </c>
      <c r="G262">
        <v>2011</v>
      </c>
      <c r="H262" t="s">
        <v>1231</v>
      </c>
      <c r="I262" t="s">
        <v>1332</v>
      </c>
      <c r="J262">
        <v>8314</v>
      </c>
      <c r="K262" t="s">
        <v>1287</v>
      </c>
      <c r="L262" s="1">
        <v>45</v>
      </c>
      <c r="M262" s="1">
        <f t="shared" si="18"/>
        <v>15</v>
      </c>
      <c r="N262" s="1">
        <v>60</v>
      </c>
    </row>
    <row r="263" spans="1:14" x14ac:dyDescent="0.3">
      <c r="A263" t="s">
        <v>1068</v>
      </c>
      <c r="B263" t="s">
        <v>1068</v>
      </c>
      <c r="C263" t="s">
        <v>496</v>
      </c>
      <c r="D263" t="s">
        <v>496</v>
      </c>
      <c r="E263" t="s">
        <v>497</v>
      </c>
      <c r="F263" t="s">
        <v>334</v>
      </c>
      <c r="G263">
        <v>2011</v>
      </c>
      <c r="H263" t="s">
        <v>1231</v>
      </c>
      <c r="I263" t="s">
        <v>1333</v>
      </c>
      <c r="J263">
        <v>8243</v>
      </c>
      <c r="K263" t="s">
        <v>1287</v>
      </c>
      <c r="L263" s="1">
        <v>0</v>
      </c>
      <c r="M263" s="1">
        <v>0</v>
      </c>
      <c r="N263" s="1">
        <v>0</v>
      </c>
    </row>
    <row r="264" spans="1:14" x14ac:dyDescent="0.3">
      <c r="A264" t="s">
        <v>1069</v>
      </c>
      <c r="B264" t="s">
        <v>1069</v>
      </c>
      <c r="C264" t="s">
        <v>498</v>
      </c>
      <c r="D264" t="s">
        <v>498</v>
      </c>
      <c r="E264" t="s">
        <v>499</v>
      </c>
      <c r="F264" t="s">
        <v>334</v>
      </c>
      <c r="G264">
        <v>2011</v>
      </c>
      <c r="H264" t="s">
        <v>1231</v>
      </c>
      <c r="I264" t="s">
        <v>1333</v>
      </c>
      <c r="J264">
        <v>17630</v>
      </c>
      <c r="K264" t="s">
        <v>1287</v>
      </c>
      <c r="L264" s="1">
        <v>0</v>
      </c>
      <c r="M264" s="1">
        <v>0</v>
      </c>
      <c r="N264" s="1">
        <v>0</v>
      </c>
    </row>
    <row r="265" spans="1:14" x14ac:dyDescent="0.3">
      <c r="A265" t="s">
        <v>1070</v>
      </c>
      <c r="B265" t="s">
        <v>1070</v>
      </c>
      <c r="C265" t="s">
        <v>500</v>
      </c>
      <c r="D265" t="s">
        <v>500</v>
      </c>
      <c r="E265" t="s">
        <v>501</v>
      </c>
      <c r="F265" t="s">
        <v>334</v>
      </c>
      <c r="G265">
        <v>6890.4</v>
      </c>
      <c r="H265" t="s">
        <v>1231</v>
      </c>
      <c r="I265" t="s">
        <v>1332</v>
      </c>
      <c r="J265">
        <v>1</v>
      </c>
      <c r="K265" t="s">
        <v>1287</v>
      </c>
      <c r="L265" s="1">
        <v>45</v>
      </c>
      <c r="M265" s="1">
        <f t="shared" ref="M265:M291" si="19">N265-L265</f>
        <v>15</v>
      </c>
      <c r="N265" s="1">
        <v>60</v>
      </c>
    </row>
    <row r="266" spans="1:14" x14ac:dyDescent="0.3">
      <c r="A266" t="s">
        <v>1071</v>
      </c>
      <c r="B266" t="s">
        <v>1071</v>
      </c>
      <c r="C266" t="s">
        <v>502</v>
      </c>
      <c r="D266" t="s">
        <v>502</v>
      </c>
      <c r="E266" t="s">
        <v>503</v>
      </c>
      <c r="F266" t="s">
        <v>504</v>
      </c>
      <c r="G266">
        <v>1193.78</v>
      </c>
      <c r="H266" t="s">
        <v>1231</v>
      </c>
      <c r="I266" t="s">
        <v>1332</v>
      </c>
      <c r="J266">
        <v>4588</v>
      </c>
      <c r="K266" t="s">
        <v>1282</v>
      </c>
      <c r="L266" s="1">
        <v>45</v>
      </c>
      <c r="M266" s="1">
        <f t="shared" si="19"/>
        <v>19</v>
      </c>
      <c r="N266" s="1">
        <v>64</v>
      </c>
    </row>
    <row r="267" spans="1:14" x14ac:dyDescent="0.3">
      <c r="A267" t="s">
        <v>1072</v>
      </c>
      <c r="B267" t="s">
        <v>1072</v>
      </c>
      <c r="C267" t="s">
        <v>505</v>
      </c>
      <c r="D267" t="s">
        <v>505</v>
      </c>
      <c r="E267" t="s">
        <v>506</v>
      </c>
      <c r="F267" t="s">
        <v>504</v>
      </c>
      <c r="G267">
        <v>2821.5</v>
      </c>
      <c r="H267" t="s">
        <v>1231</v>
      </c>
      <c r="I267" t="s">
        <v>1332</v>
      </c>
      <c r="J267">
        <v>5494</v>
      </c>
      <c r="K267" t="s">
        <v>1282</v>
      </c>
      <c r="L267" s="1">
        <v>45</v>
      </c>
      <c r="M267" s="1">
        <f t="shared" si="19"/>
        <v>37</v>
      </c>
      <c r="N267" s="1">
        <v>82</v>
      </c>
    </row>
    <row r="268" spans="1:14" x14ac:dyDescent="0.3">
      <c r="A268" t="s">
        <v>1073</v>
      </c>
      <c r="B268" t="s">
        <v>1073</v>
      </c>
      <c r="C268" t="s">
        <v>507</v>
      </c>
      <c r="D268" t="s">
        <v>507</v>
      </c>
      <c r="E268" t="s">
        <v>508</v>
      </c>
      <c r="F268" t="s">
        <v>504</v>
      </c>
      <c r="G268">
        <v>5316.3</v>
      </c>
      <c r="H268" t="s">
        <v>1231</v>
      </c>
      <c r="I268" t="s">
        <v>1332</v>
      </c>
      <c r="J268">
        <v>910</v>
      </c>
      <c r="K268" t="s">
        <v>1282</v>
      </c>
      <c r="L268" s="1">
        <v>45</v>
      </c>
      <c r="M268" s="1">
        <f t="shared" si="19"/>
        <v>15</v>
      </c>
      <c r="N268" s="1">
        <v>60</v>
      </c>
    </row>
    <row r="269" spans="1:14" x14ac:dyDescent="0.3">
      <c r="A269" t="s">
        <v>1074</v>
      </c>
      <c r="B269" t="s">
        <v>1074</v>
      </c>
      <c r="C269" t="s">
        <v>509</v>
      </c>
      <c r="D269" t="s">
        <v>509</v>
      </c>
      <c r="E269" t="s">
        <v>510</v>
      </c>
      <c r="F269" t="s">
        <v>504</v>
      </c>
      <c r="G269">
        <v>1193.78</v>
      </c>
      <c r="H269" t="s">
        <v>1231</v>
      </c>
      <c r="I269" t="s">
        <v>1332</v>
      </c>
      <c r="J269">
        <v>4586</v>
      </c>
      <c r="K269" t="s">
        <v>1282</v>
      </c>
      <c r="L269" s="1">
        <v>45</v>
      </c>
      <c r="M269" s="1">
        <f t="shared" si="19"/>
        <v>26</v>
      </c>
      <c r="N269" s="1">
        <v>71</v>
      </c>
    </row>
    <row r="270" spans="1:14" x14ac:dyDescent="0.3">
      <c r="A270" t="s">
        <v>1075</v>
      </c>
      <c r="B270" t="s">
        <v>1075</v>
      </c>
      <c r="C270" t="s">
        <v>511</v>
      </c>
      <c r="D270" t="s">
        <v>511</v>
      </c>
      <c r="E270" t="s">
        <v>512</v>
      </c>
      <c r="F270" t="s">
        <v>504</v>
      </c>
      <c r="G270">
        <v>2821.5</v>
      </c>
      <c r="H270" t="s">
        <v>1231</v>
      </c>
      <c r="I270" t="s">
        <v>1332</v>
      </c>
      <c r="J270">
        <v>5494</v>
      </c>
      <c r="K270" t="s">
        <v>1282</v>
      </c>
      <c r="L270" s="1">
        <v>45</v>
      </c>
      <c r="M270" s="1">
        <f t="shared" si="19"/>
        <v>27</v>
      </c>
      <c r="N270" s="1">
        <v>72</v>
      </c>
    </row>
    <row r="271" spans="1:14" x14ac:dyDescent="0.3">
      <c r="A271" t="s">
        <v>1076</v>
      </c>
      <c r="B271" t="s">
        <v>1076</v>
      </c>
      <c r="C271" t="s">
        <v>513</v>
      </c>
      <c r="D271" t="s">
        <v>513</v>
      </c>
      <c r="E271" t="s">
        <v>514</v>
      </c>
      <c r="F271" t="s">
        <v>504</v>
      </c>
      <c r="G271">
        <v>5316.3</v>
      </c>
      <c r="H271" t="s">
        <v>1231</v>
      </c>
      <c r="I271" t="s">
        <v>1332</v>
      </c>
      <c r="J271">
        <v>922</v>
      </c>
      <c r="K271" t="s">
        <v>1282</v>
      </c>
      <c r="L271" s="1">
        <v>45</v>
      </c>
      <c r="M271" s="1">
        <f t="shared" si="19"/>
        <v>24</v>
      </c>
      <c r="N271" s="1">
        <v>69</v>
      </c>
    </row>
    <row r="272" spans="1:14" x14ac:dyDescent="0.3">
      <c r="A272" t="s">
        <v>1077</v>
      </c>
      <c r="B272" t="s">
        <v>1077</v>
      </c>
      <c r="C272" t="s">
        <v>515</v>
      </c>
      <c r="D272" t="s">
        <v>515</v>
      </c>
      <c r="E272" t="s">
        <v>516</v>
      </c>
      <c r="F272" t="s">
        <v>504</v>
      </c>
      <c r="G272">
        <v>1193.78</v>
      </c>
      <c r="H272" t="s">
        <v>1231</v>
      </c>
      <c r="I272" t="s">
        <v>1332</v>
      </c>
      <c r="J272">
        <v>1</v>
      </c>
      <c r="K272" t="s">
        <v>1282</v>
      </c>
      <c r="L272" s="1">
        <v>45</v>
      </c>
      <c r="M272" s="1">
        <f t="shared" si="19"/>
        <v>25</v>
      </c>
      <c r="N272" s="1">
        <v>70</v>
      </c>
    </row>
    <row r="273" spans="1:14" x14ac:dyDescent="0.3">
      <c r="A273" t="s">
        <v>1078</v>
      </c>
      <c r="B273" t="s">
        <v>1078</v>
      </c>
      <c r="C273" t="s">
        <v>517</v>
      </c>
      <c r="D273" t="s">
        <v>517</v>
      </c>
      <c r="E273" t="s">
        <v>518</v>
      </c>
      <c r="F273" t="s">
        <v>504</v>
      </c>
      <c r="G273">
        <v>5672.7</v>
      </c>
      <c r="H273" t="s">
        <v>1231</v>
      </c>
      <c r="I273" t="s">
        <v>1332</v>
      </c>
      <c r="J273">
        <v>2648</v>
      </c>
      <c r="K273" t="s">
        <v>1282</v>
      </c>
      <c r="L273" s="1">
        <v>45</v>
      </c>
      <c r="M273" s="1">
        <f t="shared" si="19"/>
        <v>15</v>
      </c>
      <c r="N273" s="1">
        <v>60</v>
      </c>
    </row>
    <row r="274" spans="1:14" x14ac:dyDescent="0.3">
      <c r="A274" t="s">
        <v>1079</v>
      </c>
      <c r="B274" t="s">
        <v>1079</v>
      </c>
      <c r="C274" t="s">
        <v>519</v>
      </c>
      <c r="D274" t="s">
        <v>519</v>
      </c>
      <c r="E274" t="s">
        <v>520</v>
      </c>
      <c r="F274" t="s">
        <v>504</v>
      </c>
      <c r="G274">
        <v>5672.7</v>
      </c>
      <c r="H274" t="s">
        <v>1231</v>
      </c>
      <c r="I274" t="s">
        <v>1332</v>
      </c>
      <c r="J274">
        <v>2648</v>
      </c>
      <c r="K274" t="s">
        <v>1282</v>
      </c>
      <c r="L274" s="1">
        <v>45</v>
      </c>
      <c r="M274" s="1">
        <f t="shared" si="19"/>
        <v>15</v>
      </c>
      <c r="N274" s="1">
        <v>60</v>
      </c>
    </row>
    <row r="275" spans="1:14" x14ac:dyDescent="0.3">
      <c r="A275" t="s">
        <v>1080</v>
      </c>
      <c r="B275" t="s">
        <v>1080</v>
      </c>
      <c r="C275" t="s">
        <v>521</v>
      </c>
      <c r="D275" t="s">
        <v>521</v>
      </c>
      <c r="E275" t="s">
        <v>522</v>
      </c>
      <c r="F275" t="s">
        <v>504</v>
      </c>
      <c r="G275">
        <v>5672.7</v>
      </c>
      <c r="H275" t="s">
        <v>1231</v>
      </c>
      <c r="I275" t="s">
        <v>1332</v>
      </c>
      <c r="J275">
        <v>2648</v>
      </c>
      <c r="K275" t="s">
        <v>1282</v>
      </c>
      <c r="L275" s="1">
        <v>45</v>
      </c>
      <c r="M275" s="1">
        <f t="shared" si="19"/>
        <v>15</v>
      </c>
      <c r="N275" s="1">
        <v>60</v>
      </c>
    </row>
    <row r="276" spans="1:14" x14ac:dyDescent="0.3">
      <c r="A276" t="s">
        <v>1081</v>
      </c>
      <c r="B276" t="s">
        <v>1081</v>
      </c>
      <c r="C276" t="s">
        <v>523</v>
      </c>
      <c r="D276" t="s">
        <v>523</v>
      </c>
      <c r="E276" t="s">
        <v>524</v>
      </c>
      <c r="F276" t="s">
        <v>504</v>
      </c>
      <c r="G276">
        <v>5672.7</v>
      </c>
      <c r="H276" t="s">
        <v>1231</v>
      </c>
      <c r="I276" t="s">
        <v>1332</v>
      </c>
      <c r="J276">
        <v>2663</v>
      </c>
      <c r="K276" t="s">
        <v>1282</v>
      </c>
      <c r="L276" s="1">
        <v>45</v>
      </c>
      <c r="M276" s="1">
        <f t="shared" si="19"/>
        <v>15</v>
      </c>
      <c r="N276" s="1">
        <v>60</v>
      </c>
    </row>
    <row r="277" spans="1:14" x14ac:dyDescent="0.3">
      <c r="A277" t="s">
        <v>1082</v>
      </c>
      <c r="B277" t="s">
        <v>1082</v>
      </c>
      <c r="C277" t="s">
        <v>525</v>
      </c>
      <c r="D277" t="s">
        <v>525</v>
      </c>
      <c r="E277" t="s">
        <v>526</v>
      </c>
      <c r="F277" t="s">
        <v>504</v>
      </c>
      <c r="G277">
        <v>5672.7</v>
      </c>
      <c r="H277" t="s">
        <v>1231</v>
      </c>
      <c r="I277" t="s">
        <v>1332</v>
      </c>
      <c r="J277">
        <v>2648</v>
      </c>
      <c r="K277" t="s">
        <v>1282</v>
      </c>
      <c r="L277" s="1">
        <v>45</v>
      </c>
      <c r="M277" s="1">
        <f t="shared" si="19"/>
        <v>15</v>
      </c>
      <c r="N277" s="1">
        <v>60</v>
      </c>
    </row>
    <row r="278" spans="1:14" x14ac:dyDescent="0.3">
      <c r="A278" t="s">
        <v>1083</v>
      </c>
      <c r="B278" t="s">
        <v>1083</v>
      </c>
      <c r="C278" t="s">
        <v>527</v>
      </c>
      <c r="D278" t="s">
        <v>527</v>
      </c>
      <c r="E278" t="s">
        <v>528</v>
      </c>
      <c r="F278" t="s">
        <v>504</v>
      </c>
      <c r="G278">
        <v>5672.7</v>
      </c>
      <c r="H278" t="s">
        <v>1231</v>
      </c>
      <c r="I278" t="s">
        <v>1332</v>
      </c>
      <c r="J278">
        <v>2648</v>
      </c>
      <c r="K278" t="s">
        <v>1282</v>
      </c>
      <c r="L278" s="1">
        <v>45</v>
      </c>
      <c r="M278" s="1">
        <f t="shared" si="19"/>
        <v>15</v>
      </c>
      <c r="N278" s="1">
        <v>60</v>
      </c>
    </row>
    <row r="279" spans="1:14" x14ac:dyDescent="0.3">
      <c r="A279" t="s">
        <v>1084</v>
      </c>
      <c r="B279" t="s">
        <v>1084</v>
      </c>
      <c r="C279" t="s">
        <v>529</v>
      </c>
      <c r="D279" t="s">
        <v>529</v>
      </c>
      <c r="E279" t="s">
        <v>530</v>
      </c>
      <c r="F279" t="s">
        <v>504</v>
      </c>
      <c r="G279">
        <v>5672.7</v>
      </c>
      <c r="H279" t="s">
        <v>1231</v>
      </c>
      <c r="I279" t="s">
        <v>1332</v>
      </c>
      <c r="J279">
        <v>2648</v>
      </c>
      <c r="K279" t="s">
        <v>1282</v>
      </c>
      <c r="L279" s="1">
        <v>45</v>
      </c>
      <c r="M279" s="1">
        <f t="shared" si="19"/>
        <v>15</v>
      </c>
      <c r="N279" s="1">
        <v>60</v>
      </c>
    </row>
    <row r="280" spans="1:14" x14ac:dyDescent="0.3">
      <c r="A280" t="s">
        <v>1085</v>
      </c>
      <c r="B280" t="s">
        <v>1085</v>
      </c>
      <c r="C280" t="s">
        <v>531</v>
      </c>
      <c r="D280" t="s">
        <v>531</v>
      </c>
      <c r="E280" t="s">
        <v>532</v>
      </c>
      <c r="F280" t="s">
        <v>504</v>
      </c>
      <c r="G280">
        <v>5672.7</v>
      </c>
      <c r="H280" t="s">
        <v>1231</v>
      </c>
      <c r="I280" t="s">
        <v>1332</v>
      </c>
      <c r="J280">
        <v>2656</v>
      </c>
      <c r="K280" t="s">
        <v>1282</v>
      </c>
      <c r="L280" s="1">
        <v>45</v>
      </c>
      <c r="M280" s="1">
        <f t="shared" si="19"/>
        <v>15</v>
      </c>
      <c r="N280" s="1">
        <v>60</v>
      </c>
    </row>
    <row r="281" spans="1:14" x14ac:dyDescent="0.3">
      <c r="A281" t="s">
        <v>1086</v>
      </c>
      <c r="B281" t="s">
        <v>1086</v>
      </c>
      <c r="C281" t="s">
        <v>533</v>
      </c>
      <c r="D281" t="s">
        <v>533</v>
      </c>
      <c r="E281" t="s">
        <v>534</v>
      </c>
      <c r="F281" t="s">
        <v>504</v>
      </c>
      <c r="G281">
        <v>5672.7</v>
      </c>
      <c r="H281" t="s">
        <v>1231</v>
      </c>
      <c r="I281" t="s">
        <v>1332</v>
      </c>
      <c r="J281">
        <v>2679</v>
      </c>
      <c r="K281" t="s">
        <v>1282</v>
      </c>
      <c r="L281" s="1">
        <v>45</v>
      </c>
      <c r="M281" s="1">
        <f t="shared" si="19"/>
        <v>15</v>
      </c>
      <c r="N281" s="1">
        <v>60</v>
      </c>
    </row>
    <row r="282" spans="1:14" x14ac:dyDescent="0.3">
      <c r="A282" t="s">
        <v>1087</v>
      </c>
      <c r="B282" t="s">
        <v>1087</v>
      </c>
      <c r="C282" t="s">
        <v>535</v>
      </c>
      <c r="D282" t="s">
        <v>535</v>
      </c>
      <c r="E282" t="s">
        <v>536</v>
      </c>
      <c r="F282" t="s">
        <v>504</v>
      </c>
      <c r="G282">
        <v>5791.5</v>
      </c>
      <c r="H282" t="s">
        <v>1232</v>
      </c>
      <c r="I282" t="s">
        <v>1236</v>
      </c>
      <c r="J282">
        <v>2450</v>
      </c>
      <c r="K282" t="s">
        <v>1282</v>
      </c>
      <c r="L282" s="1">
        <v>45</v>
      </c>
      <c r="M282" s="1">
        <f t="shared" si="19"/>
        <v>15</v>
      </c>
      <c r="N282" s="1">
        <v>60</v>
      </c>
    </row>
    <row r="283" spans="1:14" x14ac:dyDescent="0.3">
      <c r="A283" t="s">
        <v>1088</v>
      </c>
      <c r="B283" t="s">
        <v>1088</v>
      </c>
      <c r="C283" t="s">
        <v>537</v>
      </c>
      <c r="D283" t="s">
        <v>537</v>
      </c>
      <c r="E283" t="s">
        <v>538</v>
      </c>
      <c r="F283" t="s">
        <v>504</v>
      </c>
      <c r="G283">
        <v>5672</v>
      </c>
      <c r="H283" t="s">
        <v>1232</v>
      </c>
      <c r="I283" t="s">
        <v>1236</v>
      </c>
      <c r="J283">
        <v>2679</v>
      </c>
      <c r="K283" t="s">
        <v>1282</v>
      </c>
      <c r="L283" s="1">
        <v>45</v>
      </c>
      <c r="M283" s="1">
        <f t="shared" si="19"/>
        <v>15</v>
      </c>
      <c r="N283" s="1">
        <v>60</v>
      </c>
    </row>
    <row r="284" spans="1:14" x14ac:dyDescent="0.3">
      <c r="A284" t="s">
        <v>1089</v>
      </c>
      <c r="B284" t="s">
        <v>1089</v>
      </c>
      <c r="C284" t="s">
        <v>539</v>
      </c>
      <c r="D284" t="s">
        <v>539</v>
      </c>
      <c r="E284" t="s">
        <v>540</v>
      </c>
      <c r="F284" t="s">
        <v>504</v>
      </c>
      <c r="G284">
        <v>1203.4100000000001</v>
      </c>
      <c r="H284" t="s">
        <v>1230</v>
      </c>
      <c r="I284" t="s">
        <v>1332</v>
      </c>
      <c r="J284">
        <v>3170</v>
      </c>
      <c r="K284" t="s">
        <v>1282</v>
      </c>
      <c r="L284" s="1">
        <v>45</v>
      </c>
      <c r="M284" s="1">
        <f t="shared" si="19"/>
        <v>15</v>
      </c>
      <c r="N284" s="1">
        <v>60</v>
      </c>
    </row>
    <row r="285" spans="1:14" x14ac:dyDescent="0.3">
      <c r="A285" t="s">
        <v>1090</v>
      </c>
      <c r="B285" t="s">
        <v>1090</v>
      </c>
      <c r="C285" t="s">
        <v>541</v>
      </c>
      <c r="D285" t="s">
        <v>541</v>
      </c>
      <c r="E285" t="s">
        <v>542</v>
      </c>
      <c r="F285" t="s">
        <v>504</v>
      </c>
      <c r="G285">
        <v>1237.5</v>
      </c>
      <c r="H285" t="s">
        <v>1231</v>
      </c>
      <c r="I285" t="s">
        <v>1332</v>
      </c>
      <c r="J285">
        <v>3070</v>
      </c>
      <c r="K285" t="s">
        <v>1282</v>
      </c>
      <c r="L285" s="1">
        <v>45</v>
      </c>
      <c r="M285" s="1">
        <f t="shared" si="19"/>
        <v>15</v>
      </c>
      <c r="N285" s="1">
        <v>60</v>
      </c>
    </row>
    <row r="286" spans="1:14" x14ac:dyDescent="0.3">
      <c r="A286" t="s">
        <v>1091</v>
      </c>
      <c r="B286" t="s">
        <v>1091</v>
      </c>
      <c r="C286" t="s">
        <v>543</v>
      </c>
      <c r="D286" t="s">
        <v>543</v>
      </c>
      <c r="E286" t="s">
        <v>544</v>
      </c>
      <c r="F286" t="s">
        <v>504</v>
      </c>
      <c r="G286">
        <v>1237.5</v>
      </c>
      <c r="H286" t="s">
        <v>1231</v>
      </c>
      <c r="I286" t="s">
        <v>1332</v>
      </c>
      <c r="J286">
        <v>3066</v>
      </c>
      <c r="K286" t="s">
        <v>1282</v>
      </c>
      <c r="L286" s="1">
        <v>45</v>
      </c>
      <c r="M286" s="1">
        <f t="shared" si="19"/>
        <v>16</v>
      </c>
      <c r="N286" s="1">
        <v>61</v>
      </c>
    </row>
    <row r="287" spans="1:14" x14ac:dyDescent="0.3">
      <c r="A287" t="s">
        <v>1092</v>
      </c>
      <c r="B287" t="s">
        <v>1092</v>
      </c>
      <c r="C287" t="s">
        <v>545</v>
      </c>
      <c r="D287" t="s">
        <v>545</v>
      </c>
      <c r="E287" t="s">
        <v>546</v>
      </c>
      <c r="F287" t="s">
        <v>504</v>
      </c>
      <c r="G287">
        <v>4455</v>
      </c>
      <c r="H287" t="s">
        <v>1230</v>
      </c>
      <c r="I287" t="s">
        <v>1332</v>
      </c>
      <c r="J287">
        <v>793</v>
      </c>
      <c r="K287" t="s">
        <v>1282</v>
      </c>
      <c r="L287" s="1">
        <v>45</v>
      </c>
      <c r="M287" s="1">
        <f t="shared" si="19"/>
        <v>15</v>
      </c>
      <c r="N287" s="1">
        <v>60</v>
      </c>
    </row>
    <row r="288" spans="1:14" x14ac:dyDescent="0.3">
      <c r="A288" t="s">
        <v>1093</v>
      </c>
      <c r="B288" t="s">
        <v>1093</v>
      </c>
      <c r="C288" t="s">
        <v>547</v>
      </c>
      <c r="D288" t="s">
        <v>547</v>
      </c>
      <c r="E288" t="s">
        <v>548</v>
      </c>
      <c r="F288" t="s">
        <v>504</v>
      </c>
      <c r="G288">
        <v>1203.4100000000001</v>
      </c>
      <c r="H288" t="s">
        <v>1230</v>
      </c>
      <c r="I288" t="s">
        <v>1332</v>
      </c>
      <c r="J288">
        <v>3170</v>
      </c>
      <c r="K288" t="s">
        <v>1282</v>
      </c>
      <c r="L288" s="1">
        <v>45</v>
      </c>
      <c r="M288" s="1">
        <f t="shared" si="19"/>
        <v>15</v>
      </c>
      <c r="N288" s="1">
        <v>60</v>
      </c>
    </row>
    <row r="289" spans="1:14" x14ac:dyDescent="0.3">
      <c r="A289" t="s">
        <v>1094</v>
      </c>
      <c r="B289" t="s">
        <v>1094</v>
      </c>
      <c r="C289" t="s">
        <v>549</v>
      </c>
      <c r="D289" t="s">
        <v>549</v>
      </c>
      <c r="E289" t="s">
        <v>550</v>
      </c>
      <c r="F289" t="s">
        <v>504</v>
      </c>
      <c r="G289">
        <v>1203.4100000000001</v>
      </c>
      <c r="H289" t="s">
        <v>1230</v>
      </c>
      <c r="I289" t="s">
        <v>1332</v>
      </c>
      <c r="J289">
        <v>3170</v>
      </c>
      <c r="K289" t="s">
        <v>1282</v>
      </c>
      <c r="L289" s="1">
        <v>45</v>
      </c>
      <c r="M289" s="1">
        <f t="shared" si="19"/>
        <v>15</v>
      </c>
      <c r="N289" s="1">
        <v>60</v>
      </c>
    </row>
    <row r="290" spans="1:14" x14ac:dyDescent="0.3">
      <c r="A290" t="s">
        <v>1095</v>
      </c>
      <c r="B290" t="s">
        <v>1095</v>
      </c>
      <c r="C290" t="s">
        <v>551</v>
      </c>
      <c r="D290" t="s">
        <v>551</v>
      </c>
      <c r="E290" t="s">
        <v>552</v>
      </c>
      <c r="F290" t="s">
        <v>504</v>
      </c>
      <c r="G290">
        <v>2267.1</v>
      </c>
      <c r="H290" t="s">
        <v>1230</v>
      </c>
      <c r="I290" t="s">
        <v>1332</v>
      </c>
      <c r="J290">
        <v>1981</v>
      </c>
      <c r="K290" t="s">
        <v>1282</v>
      </c>
      <c r="L290" s="1">
        <v>45</v>
      </c>
      <c r="M290" s="1">
        <f t="shared" si="19"/>
        <v>15</v>
      </c>
      <c r="N290" s="1">
        <v>60</v>
      </c>
    </row>
    <row r="291" spans="1:14" x14ac:dyDescent="0.3">
      <c r="A291" t="s">
        <v>1096</v>
      </c>
      <c r="B291" t="s">
        <v>1096</v>
      </c>
      <c r="C291" t="s">
        <v>553</v>
      </c>
      <c r="D291" t="s">
        <v>553</v>
      </c>
      <c r="E291" t="s">
        <v>554</v>
      </c>
      <c r="F291" t="s">
        <v>504</v>
      </c>
      <c r="G291">
        <v>2267.1</v>
      </c>
      <c r="H291" t="s">
        <v>1231</v>
      </c>
      <c r="I291" t="s">
        <v>1332</v>
      </c>
      <c r="J291">
        <v>1919</v>
      </c>
      <c r="K291" t="s">
        <v>1282</v>
      </c>
      <c r="L291" s="1">
        <v>45</v>
      </c>
      <c r="M291" s="1">
        <f t="shared" si="19"/>
        <v>15</v>
      </c>
      <c r="N291" s="1">
        <v>60</v>
      </c>
    </row>
    <row r="292" spans="1:14" x14ac:dyDescent="0.3">
      <c r="A292" t="s">
        <v>1097</v>
      </c>
      <c r="B292" t="s">
        <v>1097</v>
      </c>
      <c r="C292" t="s">
        <v>555</v>
      </c>
      <c r="D292" t="s">
        <v>555</v>
      </c>
      <c r="E292" t="s">
        <v>556</v>
      </c>
      <c r="F292" t="s">
        <v>504</v>
      </c>
      <c r="G292">
        <v>4950</v>
      </c>
      <c r="H292" t="s">
        <v>1231</v>
      </c>
      <c r="I292" t="s">
        <v>1333</v>
      </c>
      <c r="J292">
        <v>1920</v>
      </c>
      <c r="K292" t="s">
        <v>1282</v>
      </c>
      <c r="L292" s="1">
        <v>0</v>
      </c>
      <c r="M292" s="1">
        <v>0</v>
      </c>
      <c r="N292" s="1">
        <v>0</v>
      </c>
    </row>
    <row r="293" spans="1:14" x14ac:dyDescent="0.3">
      <c r="A293" t="s">
        <v>1098</v>
      </c>
      <c r="B293" t="s">
        <v>1098</v>
      </c>
      <c r="C293" t="s">
        <v>557</v>
      </c>
      <c r="D293" t="s">
        <v>557</v>
      </c>
      <c r="E293" t="s">
        <v>558</v>
      </c>
      <c r="F293" t="s">
        <v>504</v>
      </c>
      <c r="G293">
        <v>4950</v>
      </c>
      <c r="H293" t="s">
        <v>1231</v>
      </c>
      <c r="I293" t="s">
        <v>1333</v>
      </c>
      <c r="J293">
        <v>1920</v>
      </c>
      <c r="K293" t="s">
        <v>1282</v>
      </c>
      <c r="L293" s="1">
        <v>0</v>
      </c>
      <c r="M293" s="1">
        <v>0</v>
      </c>
      <c r="N293" s="1">
        <v>0</v>
      </c>
    </row>
    <row r="294" spans="1:14" x14ac:dyDescent="0.3">
      <c r="A294" t="s">
        <v>1099</v>
      </c>
      <c r="B294" t="s">
        <v>1099</v>
      </c>
      <c r="C294" t="s">
        <v>559</v>
      </c>
      <c r="D294" t="s">
        <v>559</v>
      </c>
      <c r="E294" t="s">
        <v>1390</v>
      </c>
      <c r="F294" t="s">
        <v>504</v>
      </c>
      <c r="G294">
        <v>1252</v>
      </c>
      <c r="H294" t="s">
        <v>1232</v>
      </c>
      <c r="I294" t="s">
        <v>1236</v>
      </c>
      <c r="J294">
        <v>1</v>
      </c>
      <c r="K294" t="s">
        <v>1282</v>
      </c>
      <c r="L294" s="1">
        <v>45</v>
      </c>
      <c r="M294" s="1">
        <f>N294-L294</f>
        <v>15</v>
      </c>
      <c r="N294" s="1">
        <v>60</v>
      </c>
    </row>
    <row r="295" spans="1:14" x14ac:dyDescent="0.3">
      <c r="A295" t="s">
        <v>1100</v>
      </c>
      <c r="B295" t="s">
        <v>1100</v>
      </c>
      <c r="C295" t="s">
        <v>560</v>
      </c>
      <c r="D295" t="s">
        <v>560</v>
      </c>
      <c r="E295" t="s">
        <v>561</v>
      </c>
      <c r="F295" t="s">
        <v>504</v>
      </c>
      <c r="G295">
        <v>1267.2</v>
      </c>
      <c r="H295" t="s">
        <v>1231</v>
      </c>
      <c r="I295" t="s">
        <v>1333</v>
      </c>
      <c r="J295">
        <v>2937</v>
      </c>
      <c r="K295" t="s">
        <v>1282</v>
      </c>
      <c r="L295" s="1">
        <v>0</v>
      </c>
      <c r="M295" s="1">
        <v>0</v>
      </c>
      <c r="N295" s="1">
        <v>0</v>
      </c>
    </row>
    <row r="296" spans="1:14" x14ac:dyDescent="0.3">
      <c r="A296" t="s">
        <v>1101</v>
      </c>
      <c r="B296" t="s">
        <v>1101</v>
      </c>
      <c r="C296" t="s">
        <v>562</v>
      </c>
      <c r="D296" t="s">
        <v>562</v>
      </c>
      <c r="E296" t="s">
        <v>563</v>
      </c>
      <c r="F296" t="s">
        <v>504</v>
      </c>
      <c r="G296">
        <v>6751.8</v>
      </c>
      <c r="H296" t="s">
        <v>1231</v>
      </c>
      <c r="I296" t="s">
        <v>1333</v>
      </c>
      <c r="J296">
        <v>734</v>
      </c>
      <c r="K296" t="s">
        <v>1282</v>
      </c>
      <c r="L296" s="1">
        <v>0</v>
      </c>
      <c r="M296" s="1">
        <v>0</v>
      </c>
      <c r="N296" s="1">
        <v>0</v>
      </c>
    </row>
    <row r="297" spans="1:14" x14ac:dyDescent="0.3">
      <c r="A297" t="s">
        <v>1102</v>
      </c>
      <c r="B297" t="s">
        <v>1102</v>
      </c>
      <c r="C297" t="s">
        <v>564</v>
      </c>
      <c r="D297" t="s">
        <v>564</v>
      </c>
      <c r="E297" t="s">
        <v>565</v>
      </c>
      <c r="F297" t="s">
        <v>504</v>
      </c>
      <c r="G297">
        <v>1237.5</v>
      </c>
      <c r="H297" t="s">
        <v>1231</v>
      </c>
      <c r="I297" t="s">
        <v>1332</v>
      </c>
      <c r="J297">
        <v>2959</v>
      </c>
      <c r="K297" t="s">
        <v>1282</v>
      </c>
      <c r="L297" s="1">
        <v>45</v>
      </c>
      <c r="M297" s="1">
        <f>N297-L297</f>
        <v>18</v>
      </c>
      <c r="N297" s="1">
        <v>63</v>
      </c>
    </row>
    <row r="298" spans="1:14" x14ac:dyDescent="0.3">
      <c r="A298" t="s">
        <v>1103</v>
      </c>
      <c r="B298" t="s">
        <v>1103</v>
      </c>
      <c r="C298" t="s">
        <v>566</v>
      </c>
      <c r="D298" t="s">
        <v>566</v>
      </c>
      <c r="E298" t="s">
        <v>567</v>
      </c>
      <c r="F298" t="s">
        <v>504</v>
      </c>
      <c r="G298">
        <v>5405.4</v>
      </c>
      <c r="H298" t="s">
        <v>1231</v>
      </c>
      <c r="I298" t="s">
        <v>1333</v>
      </c>
      <c r="J298">
        <v>3980</v>
      </c>
      <c r="K298" t="s">
        <v>1281</v>
      </c>
      <c r="L298" s="1">
        <v>0</v>
      </c>
      <c r="M298" s="1">
        <v>0</v>
      </c>
      <c r="N298" s="1">
        <v>0</v>
      </c>
    </row>
    <row r="299" spans="1:14" x14ac:dyDescent="0.3">
      <c r="A299" t="s">
        <v>1104</v>
      </c>
      <c r="B299" t="s">
        <v>1104</v>
      </c>
      <c r="C299" t="s">
        <v>568</v>
      </c>
      <c r="D299" t="s">
        <v>568</v>
      </c>
      <c r="E299" t="s">
        <v>569</v>
      </c>
      <c r="F299" t="s">
        <v>504</v>
      </c>
      <c r="G299">
        <v>1287</v>
      </c>
      <c r="H299" t="s">
        <v>1232</v>
      </c>
      <c r="I299" t="s">
        <v>1333</v>
      </c>
      <c r="J299">
        <v>3053</v>
      </c>
      <c r="K299" t="s">
        <v>1282</v>
      </c>
      <c r="L299" s="1">
        <v>0</v>
      </c>
      <c r="M299" s="1">
        <v>0</v>
      </c>
      <c r="N299" s="1">
        <v>0</v>
      </c>
    </row>
    <row r="300" spans="1:14" x14ac:dyDescent="0.3">
      <c r="A300" t="s">
        <v>1105</v>
      </c>
      <c r="B300" t="s">
        <v>1105</v>
      </c>
      <c r="C300" t="s">
        <v>570</v>
      </c>
      <c r="D300" t="s">
        <v>570</v>
      </c>
      <c r="E300" t="s">
        <v>571</v>
      </c>
      <c r="F300" t="s">
        <v>504</v>
      </c>
      <c r="G300">
        <v>5217.3</v>
      </c>
      <c r="H300" t="s">
        <v>1232</v>
      </c>
      <c r="I300" t="s">
        <v>1236</v>
      </c>
      <c r="J300">
        <f>368</f>
        <v>368</v>
      </c>
      <c r="K300" t="s">
        <v>1282</v>
      </c>
      <c r="L300" s="1">
        <v>45</v>
      </c>
      <c r="M300" s="1">
        <f t="shared" ref="M300:M301" si="20">N300-L300</f>
        <v>45</v>
      </c>
      <c r="N300" s="1">
        <v>90</v>
      </c>
    </row>
    <row r="301" spans="1:14" x14ac:dyDescent="0.3">
      <c r="A301" t="s">
        <v>1106</v>
      </c>
      <c r="B301" t="s">
        <v>1106</v>
      </c>
      <c r="C301" t="s">
        <v>572</v>
      </c>
      <c r="D301" t="s">
        <v>572</v>
      </c>
      <c r="E301" t="s">
        <v>573</v>
      </c>
      <c r="F301" t="s">
        <v>504</v>
      </c>
      <c r="G301">
        <v>5217.3</v>
      </c>
      <c r="H301" t="s">
        <v>1232</v>
      </c>
      <c r="I301" t="s">
        <v>1236</v>
      </c>
      <c r="J301">
        <f>370</f>
        <v>370</v>
      </c>
      <c r="K301" t="s">
        <v>1282</v>
      </c>
      <c r="L301" s="1">
        <v>45</v>
      </c>
      <c r="M301" s="1">
        <f t="shared" si="20"/>
        <v>45</v>
      </c>
      <c r="N301" s="1">
        <v>90</v>
      </c>
    </row>
    <row r="302" spans="1:14" x14ac:dyDescent="0.3">
      <c r="A302" t="s">
        <v>1107</v>
      </c>
      <c r="B302" t="s">
        <v>1107</v>
      </c>
      <c r="C302" t="s">
        <v>574</v>
      </c>
      <c r="D302" t="s">
        <v>574</v>
      </c>
      <c r="E302" t="s">
        <v>575</v>
      </c>
      <c r="F302" t="s">
        <v>504</v>
      </c>
      <c r="G302">
        <v>14595.14</v>
      </c>
      <c r="H302" t="s">
        <v>1231</v>
      </c>
      <c r="I302" t="s">
        <v>1237</v>
      </c>
      <c r="J302">
        <v>318</v>
      </c>
      <c r="K302" t="s">
        <v>1282</v>
      </c>
      <c r="L302" s="1">
        <v>0</v>
      </c>
      <c r="M302" s="1">
        <v>0</v>
      </c>
      <c r="N302" s="1">
        <v>0</v>
      </c>
    </row>
    <row r="303" spans="1:14" x14ac:dyDescent="0.3">
      <c r="A303" t="s">
        <v>1108</v>
      </c>
      <c r="B303" t="s">
        <v>1108</v>
      </c>
      <c r="C303" t="s">
        <v>576</v>
      </c>
      <c r="D303" t="s">
        <v>576</v>
      </c>
      <c r="E303" t="s">
        <v>577</v>
      </c>
      <c r="F303" t="s">
        <v>504</v>
      </c>
      <c r="G303">
        <v>1232.29</v>
      </c>
      <c r="H303" t="s">
        <v>1231</v>
      </c>
      <c r="I303" t="s">
        <v>1332</v>
      </c>
      <c r="J303">
        <v>2614</v>
      </c>
      <c r="K303" t="s">
        <v>1282</v>
      </c>
      <c r="L303" s="1">
        <v>45</v>
      </c>
      <c r="M303" s="1">
        <f t="shared" ref="M303:M314" si="21">N303-L303</f>
        <v>23</v>
      </c>
      <c r="N303" s="1">
        <v>68</v>
      </c>
    </row>
    <row r="304" spans="1:14" x14ac:dyDescent="0.3">
      <c r="A304" t="s">
        <v>1109</v>
      </c>
      <c r="B304" t="s">
        <v>1109</v>
      </c>
      <c r="C304" t="s">
        <v>578</v>
      </c>
      <c r="D304" t="s">
        <v>578</v>
      </c>
      <c r="E304" t="s">
        <v>579</v>
      </c>
      <c r="F304" t="s">
        <v>504</v>
      </c>
      <c r="G304">
        <v>1267.2</v>
      </c>
      <c r="H304" t="s">
        <v>1231</v>
      </c>
      <c r="I304" t="s">
        <v>1332</v>
      </c>
      <c r="J304">
        <v>2612</v>
      </c>
      <c r="K304" t="s">
        <v>1282</v>
      </c>
      <c r="L304" s="1">
        <v>45</v>
      </c>
      <c r="M304" s="1">
        <f t="shared" si="21"/>
        <v>22</v>
      </c>
      <c r="N304" s="1">
        <v>67</v>
      </c>
    </row>
    <row r="305" spans="1:14" x14ac:dyDescent="0.3">
      <c r="A305" t="s">
        <v>1110</v>
      </c>
      <c r="B305" t="s">
        <v>1110</v>
      </c>
      <c r="C305" t="s">
        <v>580</v>
      </c>
      <c r="D305" t="s">
        <v>580</v>
      </c>
      <c r="E305" t="s">
        <v>581</v>
      </c>
      <c r="F305" t="s">
        <v>504</v>
      </c>
      <c r="G305">
        <v>1267.2</v>
      </c>
      <c r="H305" t="s">
        <v>1231</v>
      </c>
      <c r="I305" t="s">
        <v>1332</v>
      </c>
      <c r="J305">
        <v>2492</v>
      </c>
      <c r="K305" t="s">
        <v>1282</v>
      </c>
      <c r="L305" s="1">
        <v>45</v>
      </c>
      <c r="M305" s="1">
        <f t="shared" si="21"/>
        <v>20</v>
      </c>
      <c r="N305" s="1">
        <v>65</v>
      </c>
    </row>
    <row r="306" spans="1:14" x14ac:dyDescent="0.3">
      <c r="A306" t="s">
        <v>1111</v>
      </c>
      <c r="B306" t="s">
        <v>1111</v>
      </c>
      <c r="C306" t="s">
        <v>582</v>
      </c>
      <c r="D306" t="s">
        <v>582</v>
      </c>
      <c r="E306" t="s">
        <v>583</v>
      </c>
      <c r="F306" t="s">
        <v>504</v>
      </c>
      <c r="G306">
        <v>1232.29</v>
      </c>
      <c r="H306" t="s">
        <v>1231</v>
      </c>
      <c r="I306" t="s">
        <v>1332</v>
      </c>
      <c r="J306">
        <v>2614</v>
      </c>
      <c r="K306" t="s">
        <v>1282</v>
      </c>
      <c r="L306" s="1">
        <v>45</v>
      </c>
      <c r="M306" s="1">
        <f t="shared" si="21"/>
        <v>25</v>
      </c>
      <c r="N306" s="1">
        <v>70</v>
      </c>
    </row>
    <row r="307" spans="1:14" x14ac:dyDescent="0.3">
      <c r="A307" t="s">
        <v>1112</v>
      </c>
      <c r="B307" t="s">
        <v>1112</v>
      </c>
      <c r="C307" t="s">
        <v>584</v>
      </c>
      <c r="D307" t="s">
        <v>584</v>
      </c>
      <c r="E307" t="s">
        <v>585</v>
      </c>
      <c r="F307" t="s">
        <v>504</v>
      </c>
      <c r="G307">
        <v>4158</v>
      </c>
      <c r="H307" t="s">
        <v>1233</v>
      </c>
      <c r="I307" t="s">
        <v>1332</v>
      </c>
      <c r="J307">
        <v>316</v>
      </c>
      <c r="K307" t="s">
        <v>1282</v>
      </c>
      <c r="L307" s="1">
        <v>45</v>
      </c>
      <c r="M307" s="1">
        <f t="shared" si="21"/>
        <v>15</v>
      </c>
      <c r="N307" s="1">
        <v>60</v>
      </c>
    </row>
    <row r="308" spans="1:14" x14ac:dyDescent="0.3">
      <c r="A308" t="s">
        <v>1113</v>
      </c>
      <c r="B308" t="s">
        <v>1113</v>
      </c>
      <c r="C308" t="s">
        <v>586</v>
      </c>
      <c r="D308" t="s">
        <v>586</v>
      </c>
      <c r="E308" t="s">
        <v>587</v>
      </c>
      <c r="F308" t="s">
        <v>504</v>
      </c>
      <c r="G308">
        <v>4158</v>
      </c>
      <c r="H308" t="s">
        <v>1233</v>
      </c>
      <c r="I308" t="s">
        <v>1332</v>
      </c>
      <c r="J308">
        <v>313</v>
      </c>
      <c r="K308" t="s">
        <v>1282</v>
      </c>
      <c r="L308" s="1">
        <v>45</v>
      </c>
      <c r="M308" s="1">
        <f t="shared" si="21"/>
        <v>15</v>
      </c>
      <c r="N308" s="1">
        <v>60</v>
      </c>
    </row>
    <row r="309" spans="1:14" x14ac:dyDescent="0.3">
      <c r="A309" t="s">
        <v>1114</v>
      </c>
      <c r="B309" t="s">
        <v>1114</v>
      </c>
      <c r="C309" t="s">
        <v>588</v>
      </c>
      <c r="D309" t="s">
        <v>588</v>
      </c>
      <c r="E309" t="s">
        <v>589</v>
      </c>
      <c r="F309" t="s">
        <v>504</v>
      </c>
      <c r="G309">
        <v>4158</v>
      </c>
      <c r="H309" t="s">
        <v>1233</v>
      </c>
      <c r="I309" t="s">
        <v>1332</v>
      </c>
      <c r="J309">
        <v>313</v>
      </c>
      <c r="K309" t="s">
        <v>1282</v>
      </c>
      <c r="L309" s="1">
        <v>45</v>
      </c>
      <c r="M309" s="1">
        <f t="shared" si="21"/>
        <v>15</v>
      </c>
      <c r="N309" s="1">
        <v>60</v>
      </c>
    </row>
    <row r="310" spans="1:14" x14ac:dyDescent="0.3">
      <c r="A310" t="s">
        <v>1115</v>
      </c>
      <c r="B310" t="s">
        <v>1115</v>
      </c>
      <c r="C310" t="s">
        <v>590</v>
      </c>
      <c r="D310" t="s">
        <v>590</v>
      </c>
      <c r="E310" t="s">
        <v>591</v>
      </c>
      <c r="F310" t="s">
        <v>504</v>
      </c>
      <c r="G310">
        <v>4158</v>
      </c>
      <c r="H310" t="s">
        <v>1233</v>
      </c>
      <c r="I310" t="s">
        <v>1332</v>
      </c>
      <c r="J310">
        <v>310</v>
      </c>
      <c r="K310" t="s">
        <v>1282</v>
      </c>
      <c r="L310" s="1">
        <v>45</v>
      </c>
      <c r="M310" s="1">
        <f t="shared" si="21"/>
        <v>15</v>
      </c>
      <c r="N310" s="1">
        <v>60</v>
      </c>
    </row>
    <row r="311" spans="1:14" x14ac:dyDescent="0.3">
      <c r="A311" t="s">
        <v>1116</v>
      </c>
      <c r="B311" t="s">
        <v>1116</v>
      </c>
      <c r="C311" t="s">
        <v>592</v>
      </c>
      <c r="D311" t="s">
        <v>592</v>
      </c>
      <c r="E311" t="s">
        <v>593</v>
      </c>
      <c r="F311" t="s">
        <v>504</v>
      </c>
      <c r="G311">
        <v>4158</v>
      </c>
      <c r="H311" t="s">
        <v>1233</v>
      </c>
      <c r="I311" t="s">
        <v>1332</v>
      </c>
      <c r="J311">
        <v>304</v>
      </c>
      <c r="K311" t="s">
        <v>1282</v>
      </c>
      <c r="L311" s="1">
        <v>45</v>
      </c>
      <c r="M311" s="1">
        <f t="shared" si="21"/>
        <v>17</v>
      </c>
      <c r="N311" s="1">
        <v>62</v>
      </c>
    </row>
    <row r="312" spans="1:14" x14ac:dyDescent="0.3">
      <c r="A312" t="s">
        <v>1117</v>
      </c>
      <c r="B312" t="s">
        <v>1117</v>
      </c>
      <c r="C312" t="s">
        <v>594</v>
      </c>
      <c r="D312" t="s">
        <v>594</v>
      </c>
      <c r="E312" t="s">
        <v>595</v>
      </c>
      <c r="F312" t="s">
        <v>504</v>
      </c>
      <c r="G312">
        <v>1772.1</v>
      </c>
      <c r="H312" t="s">
        <v>1231</v>
      </c>
      <c r="I312" t="s">
        <v>1332</v>
      </c>
      <c r="J312">
        <v>6650</v>
      </c>
      <c r="K312" t="s">
        <v>1282</v>
      </c>
      <c r="L312" s="1">
        <v>45</v>
      </c>
      <c r="M312" s="1">
        <f t="shared" si="21"/>
        <v>15</v>
      </c>
      <c r="N312" s="1">
        <v>60</v>
      </c>
    </row>
    <row r="313" spans="1:14" x14ac:dyDescent="0.3">
      <c r="A313" t="s">
        <v>1118</v>
      </c>
      <c r="B313" t="s">
        <v>1118</v>
      </c>
      <c r="C313" t="s">
        <v>596</v>
      </c>
      <c r="D313" t="s">
        <v>596</v>
      </c>
      <c r="E313" t="s">
        <v>597</v>
      </c>
      <c r="F313" t="s">
        <v>504</v>
      </c>
      <c r="G313">
        <v>1772.1</v>
      </c>
      <c r="H313" t="s">
        <v>1231</v>
      </c>
      <c r="I313" t="s">
        <v>1332</v>
      </c>
      <c r="J313">
        <v>6650</v>
      </c>
      <c r="K313" t="s">
        <v>1282</v>
      </c>
      <c r="L313" s="1">
        <v>45</v>
      </c>
      <c r="M313" s="1">
        <f t="shared" si="21"/>
        <v>15</v>
      </c>
      <c r="N313" s="1">
        <v>60</v>
      </c>
    </row>
    <row r="314" spans="1:14" x14ac:dyDescent="0.3">
      <c r="A314" t="s">
        <v>1119</v>
      </c>
      <c r="B314" t="s">
        <v>1119</v>
      </c>
      <c r="C314" t="s">
        <v>598</v>
      </c>
      <c r="D314" t="s">
        <v>598</v>
      </c>
      <c r="E314" t="s">
        <v>599</v>
      </c>
      <c r="F314" t="s">
        <v>504</v>
      </c>
      <c r="G314">
        <v>1772.1</v>
      </c>
      <c r="H314" t="s">
        <v>1231</v>
      </c>
      <c r="I314" t="s">
        <v>1332</v>
      </c>
      <c r="J314">
        <v>6773</v>
      </c>
      <c r="K314" t="s">
        <v>1282</v>
      </c>
      <c r="L314" s="1">
        <v>45</v>
      </c>
      <c r="M314" s="1">
        <f t="shared" si="21"/>
        <v>16</v>
      </c>
      <c r="N314" s="1">
        <v>61</v>
      </c>
    </row>
    <row r="315" spans="1:14" x14ac:dyDescent="0.3">
      <c r="A315" t="s">
        <v>1120</v>
      </c>
      <c r="B315" t="s">
        <v>1120</v>
      </c>
      <c r="C315" t="s">
        <v>600</v>
      </c>
      <c r="D315" t="s">
        <v>600</v>
      </c>
      <c r="E315" t="s">
        <v>601</v>
      </c>
      <c r="F315" t="s">
        <v>504</v>
      </c>
      <c r="G315">
        <v>8335.4</v>
      </c>
      <c r="H315" t="s">
        <v>1231</v>
      </c>
      <c r="I315" t="s">
        <v>1237</v>
      </c>
      <c r="J315">
        <v>1516</v>
      </c>
      <c r="K315" t="s">
        <v>1282</v>
      </c>
      <c r="L315" s="1">
        <v>0</v>
      </c>
      <c r="M315" s="1">
        <v>0</v>
      </c>
      <c r="N315" s="1">
        <v>0</v>
      </c>
    </row>
    <row r="316" spans="1:14" x14ac:dyDescent="0.3">
      <c r="A316" t="s">
        <v>1121</v>
      </c>
      <c r="B316" t="s">
        <v>1121</v>
      </c>
      <c r="C316" t="s">
        <v>602</v>
      </c>
      <c r="D316" t="s">
        <v>602</v>
      </c>
      <c r="E316" t="s">
        <v>603</v>
      </c>
      <c r="F316" t="s">
        <v>504</v>
      </c>
      <c r="G316">
        <v>1267.2</v>
      </c>
      <c r="H316" t="s">
        <v>1231</v>
      </c>
      <c r="I316" t="s">
        <v>1332</v>
      </c>
      <c r="J316">
        <v>3014</v>
      </c>
      <c r="K316" t="s">
        <v>1282</v>
      </c>
      <c r="L316" s="1">
        <v>45</v>
      </c>
      <c r="M316" s="1">
        <f t="shared" ref="M316:M319" si="22">N316-L316</f>
        <v>20</v>
      </c>
      <c r="N316" s="1">
        <v>65</v>
      </c>
    </row>
    <row r="317" spans="1:14" x14ac:dyDescent="0.3">
      <c r="A317" t="s">
        <v>1122</v>
      </c>
      <c r="B317" t="s">
        <v>1122</v>
      </c>
      <c r="C317" t="s">
        <v>604</v>
      </c>
      <c r="D317" t="s">
        <v>604</v>
      </c>
      <c r="E317" t="s">
        <v>605</v>
      </c>
      <c r="F317" t="s">
        <v>504</v>
      </c>
      <c r="G317">
        <v>1772.1</v>
      </c>
      <c r="H317" t="s">
        <v>1231</v>
      </c>
      <c r="I317" t="s">
        <v>1332</v>
      </c>
      <c r="J317">
        <v>6883</v>
      </c>
      <c r="K317" t="s">
        <v>1282</v>
      </c>
      <c r="L317" s="1">
        <v>45</v>
      </c>
      <c r="M317" s="1">
        <f t="shared" si="22"/>
        <v>15</v>
      </c>
      <c r="N317" s="1">
        <v>60</v>
      </c>
    </row>
    <row r="318" spans="1:14" x14ac:dyDescent="0.3">
      <c r="A318" t="s">
        <v>1123</v>
      </c>
      <c r="B318" t="s">
        <v>1123</v>
      </c>
      <c r="C318" t="s">
        <v>606</v>
      </c>
      <c r="D318" t="s">
        <v>606</v>
      </c>
      <c r="E318" t="s">
        <v>607</v>
      </c>
      <c r="F318" t="s">
        <v>504</v>
      </c>
      <c r="G318">
        <v>1772.1</v>
      </c>
      <c r="H318" t="s">
        <v>1231</v>
      </c>
      <c r="I318" t="s">
        <v>1332</v>
      </c>
      <c r="J318">
        <v>6680</v>
      </c>
      <c r="K318" t="s">
        <v>1282</v>
      </c>
      <c r="L318" s="1">
        <v>45</v>
      </c>
      <c r="M318" s="1">
        <f t="shared" si="22"/>
        <v>15</v>
      </c>
      <c r="N318" s="1">
        <v>60</v>
      </c>
    </row>
    <row r="319" spans="1:14" x14ac:dyDescent="0.3">
      <c r="A319" t="s">
        <v>1124</v>
      </c>
      <c r="B319" t="s">
        <v>1124</v>
      </c>
      <c r="C319" t="s">
        <v>608</v>
      </c>
      <c r="D319" t="s">
        <v>608</v>
      </c>
      <c r="E319" t="s">
        <v>609</v>
      </c>
      <c r="F319" t="s">
        <v>504</v>
      </c>
      <c r="G319">
        <v>2475</v>
      </c>
      <c r="H319" t="s">
        <v>1231</v>
      </c>
      <c r="I319" t="s">
        <v>1332</v>
      </c>
      <c r="J319">
        <v>1634</v>
      </c>
      <c r="K319" t="s">
        <v>1282</v>
      </c>
      <c r="L319" s="1">
        <v>45</v>
      </c>
      <c r="M319" s="1">
        <f t="shared" si="22"/>
        <v>19</v>
      </c>
      <c r="N319" s="1">
        <v>64</v>
      </c>
    </row>
    <row r="320" spans="1:14" x14ac:dyDescent="0.3">
      <c r="A320" t="s">
        <v>1125</v>
      </c>
      <c r="B320" t="s">
        <v>1125</v>
      </c>
      <c r="C320" t="s">
        <v>610</v>
      </c>
      <c r="D320" t="s">
        <v>610</v>
      </c>
      <c r="E320" t="s">
        <v>611</v>
      </c>
      <c r="F320" t="s">
        <v>504</v>
      </c>
      <c r="G320">
        <v>1267.2</v>
      </c>
      <c r="H320" t="s">
        <v>1231</v>
      </c>
      <c r="I320" t="s">
        <v>1333</v>
      </c>
      <c r="J320">
        <v>2867</v>
      </c>
      <c r="K320" t="s">
        <v>1282</v>
      </c>
      <c r="L320" s="1">
        <v>0</v>
      </c>
      <c r="M320" s="1">
        <v>0</v>
      </c>
      <c r="N320" s="1">
        <v>0</v>
      </c>
    </row>
    <row r="321" spans="1:14" x14ac:dyDescent="0.3">
      <c r="A321" t="s">
        <v>1126</v>
      </c>
      <c r="B321" t="s">
        <v>1126</v>
      </c>
      <c r="C321" t="s">
        <v>612</v>
      </c>
      <c r="D321" t="s">
        <v>612</v>
      </c>
      <c r="E321" t="s">
        <v>613</v>
      </c>
      <c r="F321" t="s">
        <v>504</v>
      </c>
      <c r="G321">
        <v>1267.2</v>
      </c>
      <c r="H321" t="s">
        <v>1231</v>
      </c>
      <c r="I321" t="s">
        <v>1333</v>
      </c>
      <c r="J321">
        <v>3035</v>
      </c>
      <c r="K321" t="s">
        <v>1282</v>
      </c>
      <c r="L321" s="1">
        <v>0</v>
      </c>
      <c r="M321" s="1">
        <v>0</v>
      </c>
      <c r="N321" s="1">
        <v>0</v>
      </c>
    </row>
    <row r="322" spans="1:14" x14ac:dyDescent="0.3">
      <c r="A322" t="s">
        <v>1127</v>
      </c>
      <c r="B322" t="s">
        <v>1127</v>
      </c>
      <c r="C322" t="s">
        <v>614</v>
      </c>
      <c r="D322" t="s">
        <v>614</v>
      </c>
      <c r="E322" t="s">
        <v>615</v>
      </c>
      <c r="F322" t="s">
        <v>504</v>
      </c>
      <c r="G322">
        <v>1267.2</v>
      </c>
      <c r="H322" t="s">
        <v>1231</v>
      </c>
      <c r="I322" t="s">
        <v>1332</v>
      </c>
      <c r="J322">
        <v>3021</v>
      </c>
      <c r="K322" t="s">
        <v>1282</v>
      </c>
      <c r="L322" s="1">
        <v>45</v>
      </c>
      <c r="M322" s="1">
        <f>N322-L322</f>
        <v>19</v>
      </c>
      <c r="N322" s="1">
        <v>64</v>
      </c>
    </row>
    <row r="323" spans="1:14" x14ac:dyDescent="0.3">
      <c r="A323" t="s">
        <v>1128</v>
      </c>
      <c r="B323" t="s">
        <v>1128</v>
      </c>
      <c r="C323" t="s">
        <v>616</v>
      </c>
      <c r="D323" t="s">
        <v>616</v>
      </c>
      <c r="E323" t="s">
        <v>617</v>
      </c>
      <c r="F323" t="s">
        <v>504</v>
      </c>
      <c r="G323">
        <v>1280</v>
      </c>
      <c r="H323" t="s">
        <v>1231</v>
      </c>
      <c r="I323" t="s">
        <v>1333</v>
      </c>
      <c r="J323">
        <v>2758</v>
      </c>
      <c r="K323" t="s">
        <v>1282</v>
      </c>
      <c r="L323" s="1">
        <v>0</v>
      </c>
      <c r="M323" s="1">
        <v>0</v>
      </c>
      <c r="N323" s="1">
        <v>0</v>
      </c>
    </row>
    <row r="324" spans="1:14" x14ac:dyDescent="0.3">
      <c r="A324" t="s">
        <v>1129</v>
      </c>
      <c r="B324" t="s">
        <v>1129</v>
      </c>
      <c r="C324" t="s">
        <v>618</v>
      </c>
      <c r="D324" t="s">
        <v>618</v>
      </c>
      <c r="E324" t="s">
        <v>619</v>
      </c>
      <c r="F324" t="s">
        <v>504</v>
      </c>
      <c r="G324">
        <v>10505.68</v>
      </c>
      <c r="H324" t="s">
        <v>1231</v>
      </c>
      <c r="I324" t="s">
        <v>1237</v>
      </c>
      <c r="J324">
        <v>2389</v>
      </c>
      <c r="K324" t="s">
        <v>1282</v>
      </c>
      <c r="L324" s="1">
        <v>0</v>
      </c>
      <c r="M324" s="1">
        <v>0</v>
      </c>
      <c r="N324" s="1">
        <v>0</v>
      </c>
    </row>
    <row r="325" spans="1:14" x14ac:dyDescent="0.3">
      <c r="A325" t="s">
        <v>1130</v>
      </c>
      <c r="B325" t="s">
        <v>1130</v>
      </c>
      <c r="C325" t="s">
        <v>620</v>
      </c>
      <c r="D325" t="s">
        <v>620</v>
      </c>
      <c r="E325" t="s">
        <v>621</v>
      </c>
      <c r="F325" t="s">
        <v>504</v>
      </c>
      <c r="G325">
        <v>702.79</v>
      </c>
      <c r="H325" t="s">
        <v>1231</v>
      </c>
      <c r="I325" t="s">
        <v>1332</v>
      </c>
      <c r="J325">
        <v>8031</v>
      </c>
      <c r="K325" t="s">
        <v>1282</v>
      </c>
      <c r="L325" s="1">
        <v>45</v>
      </c>
      <c r="M325" s="1">
        <f t="shared" ref="M325:M326" si="23">N325-L325</f>
        <v>17</v>
      </c>
      <c r="N325" s="1">
        <v>62</v>
      </c>
    </row>
    <row r="326" spans="1:14" x14ac:dyDescent="0.3">
      <c r="A326" t="s">
        <v>1131</v>
      </c>
      <c r="B326" t="s">
        <v>1131</v>
      </c>
      <c r="C326" t="s">
        <v>622</v>
      </c>
      <c r="D326" t="s">
        <v>622</v>
      </c>
      <c r="E326" t="s">
        <v>623</v>
      </c>
      <c r="F326" t="s">
        <v>504</v>
      </c>
      <c r="G326">
        <v>702.79</v>
      </c>
      <c r="H326" t="s">
        <v>1231</v>
      </c>
      <c r="I326" t="s">
        <v>1332</v>
      </c>
      <c r="J326">
        <v>8010</v>
      </c>
      <c r="K326" t="s">
        <v>1282</v>
      </c>
      <c r="L326" s="1">
        <v>45</v>
      </c>
      <c r="M326" s="1">
        <f t="shared" si="23"/>
        <v>17</v>
      </c>
      <c r="N326" s="1">
        <v>62</v>
      </c>
    </row>
    <row r="327" spans="1:14" x14ac:dyDescent="0.3">
      <c r="A327" t="s">
        <v>1132</v>
      </c>
      <c r="B327" t="s">
        <v>1132</v>
      </c>
      <c r="C327" t="s">
        <v>624</v>
      </c>
      <c r="D327" t="s">
        <v>624</v>
      </c>
      <c r="E327" t="s">
        <v>625</v>
      </c>
      <c r="F327" t="s">
        <v>504</v>
      </c>
      <c r="G327">
        <v>13964.02</v>
      </c>
      <c r="H327" t="s">
        <v>1231</v>
      </c>
      <c r="I327" t="s">
        <v>1237</v>
      </c>
      <c r="J327">
        <v>290</v>
      </c>
      <c r="K327" t="s">
        <v>1282</v>
      </c>
      <c r="L327" s="1">
        <v>0</v>
      </c>
      <c r="M327" s="1">
        <v>0</v>
      </c>
      <c r="N327" s="1">
        <v>0</v>
      </c>
    </row>
    <row r="328" spans="1:14" x14ac:dyDescent="0.3">
      <c r="A328" t="s">
        <v>1133</v>
      </c>
      <c r="B328" t="s">
        <v>1133</v>
      </c>
      <c r="C328" t="s">
        <v>626</v>
      </c>
      <c r="D328" t="s">
        <v>626</v>
      </c>
      <c r="E328" t="s">
        <v>627</v>
      </c>
      <c r="F328" t="s">
        <v>504</v>
      </c>
      <c r="G328">
        <v>6157.8</v>
      </c>
      <c r="H328" t="s">
        <v>1231</v>
      </c>
      <c r="I328" t="s">
        <v>1333</v>
      </c>
      <c r="J328">
        <v>19</v>
      </c>
      <c r="K328" t="s">
        <v>1282</v>
      </c>
      <c r="L328" s="1">
        <v>0</v>
      </c>
      <c r="M328" s="1">
        <v>0</v>
      </c>
      <c r="N328" s="1">
        <v>0</v>
      </c>
    </row>
    <row r="329" spans="1:14" x14ac:dyDescent="0.3">
      <c r="A329" t="s">
        <v>1339</v>
      </c>
      <c r="B329" t="s">
        <v>1134</v>
      </c>
      <c r="C329" t="s">
        <v>1336</v>
      </c>
      <c r="D329" t="s">
        <v>628</v>
      </c>
      <c r="E329" t="s">
        <v>1391</v>
      </c>
      <c r="F329" t="s">
        <v>504</v>
      </c>
      <c r="G329">
        <v>1203.4100000000001</v>
      </c>
      <c r="H329" t="s">
        <v>1232</v>
      </c>
      <c r="I329" t="s">
        <v>1236</v>
      </c>
      <c r="J329">
        <v>600000</v>
      </c>
      <c r="K329" t="s">
        <v>1289</v>
      </c>
      <c r="L329" s="1">
        <v>45</v>
      </c>
      <c r="M329" s="1">
        <f t="shared" ref="M329:M360" si="24">N329-L329</f>
        <v>26</v>
      </c>
      <c r="N329" s="1">
        <v>71</v>
      </c>
    </row>
    <row r="330" spans="1:14" x14ac:dyDescent="0.3">
      <c r="A330" t="s">
        <v>1340</v>
      </c>
      <c r="B330" t="s">
        <v>1135</v>
      </c>
      <c r="C330" t="s">
        <v>1337</v>
      </c>
      <c r="D330" t="s">
        <v>629</v>
      </c>
      <c r="E330" t="s">
        <v>1392</v>
      </c>
      <c r="F330" t="s">
        <v>504</v>
      </c>
      <c r="G330">
        <v>1203.4100000000001</v>
      </c>
      <c r="H330" t="s">
        <v>1232</v>
      </c>
      <c r="I330" t="s">
        <v>1236</v>
      </c>
      <c r="J330">
        <v>600000</v>
      </c>
      <c r="K330" t="s">
        <v>1289</v>
      </c>
      <c r="L330" s="1">
        <v>45</v>
      </c>
      <c r="M330" s="1">
        <f t="shared" si="24"/>
        <v>31</v>
      </c>
      <c r="N330" s="1">
        <v>76</v>
      </c>
    </row>
    <row r="331" spans="1:14" x14ac:dyDescent="0.3">
      <c r="A331" t="s">
        <v>1136</v>
      </c>
      <c r="B331" t="s">
        <v>1136</v>
      </c>
      <c r="C331" t="s">
        <v>631</v>
      </c>
      <c r="D331" t="s">
        <v>631</v>
      </c>
      <c r="E331" t="s">
        <v>632</v>
      </c>
      <c r="F331" t="s">
        <v>630</v>
      </c>
      <c r="G331">
        <v>63000</v>
      </c>
      <c r="H331" t="s">
        <v>1234</v>
      </c>
      <c r="I331" t="s">
        <v>1332</v>
      </c>
      <c r="J331">
        <v>781</v>
      </c>
      <c r="K331" t="s">
        <v>1280</v>
      </c>
      <c r="L331" s="1">
        <v>45</v>
      </c>
      <c r="M331" s="1">
        <f t="shared" si="24"/>
        <v>19</v>
      </c>
      <c r="N331" s="1">
        <v>64</v>
      </c>
    </row>
    <row r="332" spans="1:14" x14ac:dyDescent="0.3">
      <c r="A332" t="s">
        <v>1137</v>
      </c>
      <c r="B332" t="s">
        <v>1137</v>
      </c>
      <c r="C332" t="s">
        <v>633</v>
      </c>
      <c r="D332" t="s">
        <v>633</v>
      </c>
      <c r="E332" t="s">
        <v>634</v>
      </c>
      <c r="F332" t="s">
        <v>630</v>
      </c>
      <c r="G332">
        <v>177600</v>
      </c>
      <c r="H332" t="s">
        <v>1234</v>
      </c>
      <c r="I332" t="s">
        <v>1332</v>
      </c>
      <c r="J332">
        <v>300</v>
      </c>
      <c r="K332" t="s">
        <v>1280</v>
      </c>
      <c r="L332" s="1">
        <v>45</v>
      </c>
      <c r="M332" s="1">
        <f t="shared" si="24"/>
        <v>50</v>
      </c>
      <c r="N332" s="1">
        <v>95</v>
      </c>
    </row>
    <row r="333" spans="1:14" x14ac:dyDescent="0.3">
      <c r="A333" t="s">
        <v>1138</v>
      </c>
      <c r="B333" t="s">
        <v>1138</v>
      </c>
      <c r="C333" t="s">
        <v>635</v>
      </c>
      <c r="D333" t="s">
        <v>635</v>
      </c>
      <c r="E333" t="s">
        <v>636</v>
      </c>
      <c r="F333" t="s">
        <v>630</v>
      </c>
      <c r="G333">
        <v>180000</v>
      </c>
      <c r="H333" t="s">
        <v>1234</v>
      </c>
      <c r="I333" t="s">
        <v>1236</v>
      </c>
      <c r="J333">
        <v>1312</v>
      </c>
      <c r="K333" t="s">
        <v>1280</v>
      </c>
      <c r="L333" s="1">
        <v>45</v>
      </c>
      <c r="M333" s="1">
        <f t="shared" si="24"/>
        <v>512</v>
      </c>
      <c r="N333" s="1">
        <v>557</v>
      </c>
    </row>
    <row r="334" spans="1:14" x14ac:dyDescent="0.3">
      <c r="A334" t="s">
        <v>1139</v>
      </c>
      <c r="B334" t="s">
        <v>1139</v>
      </c>
      <c r="C334" t="s">
        <v>637</v>
      </c>
      <c r="D334" t="s">
        <v>637</v>
      </c>
      <c r="E334" t="s">
        <v>638</v>
      </c>
      <c r="F334" t="s">
        <v>630</v>
      </c>
      <c r="G334">
        <v>146000</v>
      </c>
      <c r="H334" t="s">
        <v>1234</v>
      </c>
      <c r="I334" t="s">
        <v>1236</v>
      </c>
      <c r="J334">
        <v>726</v>
      </c>
      <c r="K334" t="s">
        <v>1280</v>
      </c>
      <c r="L334" s="1">
        <v>45</v>
      </c>
      <c r="M334" s="1">
        <f t="shared" si="24"/>
        <v>27</v>
      </c>
      <c r="N334" s="1">
        <v>72</v>
      </c>
    </row>
    <row r="335" spans="1:14" x14ac:dyDescent="0.3">
      <c r="A335" t="s">
        <v>1140</v>
      </c>
      <c r="B335" t="s">
        <v>1140</v>
      </c>
      <c r="C335" t="s">
        <v>639</v>
      </c>
      <c r="D335" t="s">
        <v>639</v>
      </c>
      <c r="E335" t="s">
        <v>640</v>
      </c>
      <c r="F335" t="s">
        <v>630</v>
      </c>
      <c r="G335">
        <v>100800</v>
      </c>
      <c r="H335" t="s">
        <v>1234</v>
      </c>
      <c r="I335" t="s">
        <v>1332</v>
      </c>
      <c r="J335">
        <v>1932</v>
      </c>
      <c r="K335" t="s">
        <v>1280</v>
      </c>
      <c r="L335" s="1">
        <v>45</v>
      </c>
      <c r="M335" s="1">
        <f t="shared" si="24"/>
        <v>57</v>
      </c>
      <c r="N335" s="1">
        <v>102</v>
      </c>
    </row>
    <row r="336" spans="1:14" x14ac:dyDescent="0.3">
      <c r="A336" t="s">
        <v>1141</v>
      </c>
      <c r="B336" t="s">
        <v>1141</v>
      </c>
      <c r="C336" t="s">
        <v>641</v>
      </c>
      <c r="D336" t="s">
        <v>641</v>
      </c>
      <c r="E336" t="s">
        <v>642</v>
      </c>
      <c r="F336" t="s">
        <v>630</v>
      </c>
      <c r="G336">
        <v>252000</v>
      </c>
      <c r="H336" t="s">
        <v>1234</v>
      </c>
      <c r="I336" t="s">
        <v>1332</v>
      </c>
      <c r="J336">
        <v>3000</v>
      </c>
      <c r="K336" t="s">
        <v>1280</v>
      </c>
      <c r="L336" s="1">
        <v>45</v>
      </c>
      <c r="M336" s="1">
        <f t="shared" si="24"/>
        <v>251</v>
      </c>
      <c r="N336" s="1">
        <v>296</v>
      </c>
    </row>
    <row r="337" spans="1:14" x14ac:dyDescent="0.3">
      <c r="A337" t="s">
        <v>1142</v>
      </c>
      <c r="B337" t="s">
        <v>1142</v>
      </c>
      <c r="C337" t="s">
        <v>643</v>
      </c>
      <c r="D337" t="s">
        <v>643</v>
      </c>
      <c r="E337" t="s">
        <v>644</v>
      </c>
      <c r="F337" t="s">
        <v>630</v>
      </c>
      <c r="G337">
        <v>57960</v>
      </c>
      <c r="H337" t="s">
        <v>1234</v>
      </c>
      <c r="I337" t="s">
        <v>1332</v>
      </c>
      <c r="J337">
        <v>1896</v>
      </c>
      <c r="K337" t="s">
        <v>1280</v>
      </c>
      <c r="L337" s="1">
        <v>45</v>
      </c>
      <c r="M337" s="1">
        <f t="shared" si="24"/>
        <v>24</v>
      </c>
      <c r="N337" s="1">
        <v>69</v>
      </c>
    </row>
    <row r="338" spans="1:14" x14ac:dyDescent="0.3">
      <c r="A338" t="s">
        <v>1143</v>
      </c>
      <c r="B338" t="s">
        <v>1143</v>
      </c>
      <c r="C338" t="s">
        <v>645</v>
      </c>
      <c r="D338" t="s">
        <v>645</v>
      </c>
      <c r="E338" t="s">
        <v>646</v>
      </c>
      <c r="F338" t="s">
        <v>630</v>
      </c>
      <c r="G338">
        <v>10500</v>
      </c>
      <c r="H338" t="s">
        <v>1234</v>
      </c>
      <c r="I338" t="s">
        <v>1332</v>
      </c>
      <c r="J338">
        <v>16012</v>
      </c>
      <c r="K338" t="s">
        <v>1279</v>
      </c>
      <c r="L338" s="1">
        <v>45</v>
      </c>
      <c r="M338" s="1">
        <f t="shared" si="24"/>
        <v>56</v>
      </c>
      <c r="N338" s="1">
        <v>101</v>
      </c>
    </row>
    <row r="339" spans="1:14" x14ac:dyDescent="0.3">
      <c r="A339" t="s">
        <v>1144</v>
      </c>
      <c r="B339" t="s">
        <v>1144</v>
      </c>
      <c r="C339" t="s">
        <v>647</v>
      </c>
      <c r="D339" t="s">
        <v>647</v>
      </c>
      <c r="E339" t="s">
        <v>648</v>
      </c>
      <c r="F339" t="s">
        <v>630</v>
      </c>
      <c r="G339">
        <v>177600</v>
      </c>
      <c r="H339" t="s">
        <v>1234</v>
      </c>
      <c r="I339" t="s">
        <v>1332</v>
      </c>
      <c r="J339">
        <v>1253</v>
      </c>
      <c r="K339" t="s">
        <v>1281</v>
      </c>
      <c r="L339" s="1">
        <v>45</v>
      </c>
      <c r="M339" s="1">
        <f t="shared" si="24"/>
        <v>90</v>
      </c>
      <c r="N339" s="1">
        <v>135</v>
      </c>
    </row>
    <row r="340" spans="1:14" x14ac:dyDescent="0.3">
      <c r="A340" t="s">
        <v>1145</v>
      </c>
      <c r="B340" t="s">
        <v>1145</v>
      </c>
      <c r="C340" t="s">
        <v>649</v>
      </c>
      <c r="D340" t="s">
        <v>649</v>
      </c>
      <c r="E340" t="s">
        <v>650</v>
      </c>
      <c r="F340" t="s">
        <v>630</v>
      </c>
      <c r="G340">
        <v>131400</v>
      </c>
      <c r="H340" t="s">
        <v>1234</v>
      </c>
      <c r="I340" t="s">
        <v>1236</v>
      </c>
      <c r="J340">
        <v>366</v>
      </c>
      <c r="K340" t="s">
        <v>1280</v>
      </c>
      <c r="L340" s="1">
        <v>45</v>
      </c>
      <c r="M340" s="1">
        <f t="shared" si="24"/>
        <v>103</v>
      </c>
      <c r="N340" s="1">
        <v>148</v>
      </c>
    </row>
    <row r="341" spans="1:14" x14ac:dyDescent="0.3">
      <c r="A341" t="s">
        <v>1146</v>
      </c>
      <c r="B341" t="s">
        <v>1146</v>
      </c>
      <c r="C341" t="s">
        <v>651</v>
      </c>
      <c r="D341" t="s">
        <v>651</v>
      </c>
      <c r="E341" t="s">
        <v>652</v>
      </c>
      <c r="F341" t="s">
        <v>630</v>
      </c>
      <c r="G341">
        <v>37000</v>
      </c>
      <c r="H341" t="s">
        <v>1234</v>
      </c>
      <c r="I341" t="s">
        <v>1332</v>
      </c>
      <c r="J341">
        <v>4200</v>
      </c>
      <c r="K341" t="s">
        <v>1290</v>
      </c>
      <c r="L341" s="1">
        <v>45</v>
      </c>
      <c r="M341" s="1">
        <f t="shared" si="24"/>
        <v>118</v>
      </c>
      <c r="N341" s="1">
        <v>163</v>
      </c>
    </row>
    <row r="342" spans="1:14" x14ac:dyDescent="0.3">
      <c r="A342" t="s">
        <v>1147</v>
      </c>
      <c r="B342" t="s">
        <v>1147</v>
      </c>
      <c r="C342" t="s">
        <v>653</v>
      </c>
      <c r="D342" t="s">
        <v>653</v>
      </c>
      <c r="E342" t="s">
        <v>654</v>
      </c>
      <c r="F342" t="s">
        <v>630</v>
      </c>
      <c r="G342">
        <v>219000</v>
      </c>
      <c r="H342" t="s">
        <v>1234</v>
      </c>
      <c r="I342" t="s">
        <v>1236</v>
      </c>
      <c r="J342">
        <v>271</v>
      </c>
      <c r="K342" t="s">
        <v>1280</v>
      </c>
      <c r="L342" s="1">
        <v>45</v>
      </c>
      <c r="M342" s="1">
        <f t="shared" si="24"/>
        <v>36</v>
      </c>
      <c r="N342" s="1">
        <v>81</v>
      </c>
    </row>
    <row r="343" spans="1:14" x14ac:dyDescent="0.3">
      <c r="A343" t="s">
        <v>1148</v>
      </c>
      <c r="B343" t="s">
        <v>1148</v>
      </c>
      <c r="C343" t="s">
        <v>655</v>
      </c>
      <c r="D343" t="s">
        <v>655</v>
      </c>
      <c r="E343" t="s">
        <v>656</v>
      </c>
      <c r="F343" t="s">
        <v>630</v>
      </c>
      <c r="G343">
        <v>300000</v>
      </c>
      <c r="H343" t="s">
        <v>1234</v>
      </c>
      <c r="I343" t="s">
        <v>1332</v>
      </c>
      <c r="J343">
        <v>726</v>
      </c>
      <c r="K343" t="s">
        <v>1280</v>
      </c>
      <c r="L343" s="1">
        <v>45</v>
      </c>
      <c r="M343" s="1">
        <f t="shared" si="24"/>
        <v>107</v>
      </c>
      <c r="N343" s="1">
        <v>152</v>
      </c>
    </row>
    <row r="344" spans="1:14" x14ac:dyDescent="0.3">
      <c r="A344" t="s">
        <v>1149</v>
      </c>
      <c r="B344" t="s">
        <v>1149</v>
      </c>
      <c r="C344" t="s">
        <v>657</v>
      </c>
      <c r="D344" t="s">
        <v>657</v>
      </c>
      <c r="E344" t="s">
        <v>658</v>
      </c>
      <c r="F344" t="s">
        <v>630</v>
      </c>
      <c r="G344">
        <v>109200</v>
      </c>
      <c r="H344" t="s">
        <v>1234</v>
      </c>
      <c r="I344" t="s">
        <v>1332</v>
      </c>
      <c r="J344">
        <v>4114</v>
      </c>
      <c r="K344" t="s">
        <v>1280</v>
      </c>
      <c r="L344" s="1">
        <v>45</v>
      </c>
      <c r="M344" s="1">
        <f t="shared" si="24"/>
        <v>281</v>
      </c>
      <c r="N344" s="1">
        <v>326</v>
      </c>
    </row>
    <row r="345" spans="1:14" x14ac:dyDescent="0.3">
      <c r="A345" t="s">
        <v>1150</v>
      </c>
      <c r="B345" t="s">
        <v>1150</v>
      </c>
      <c r="C345" t="s">
        <v>659</v>
      </c>
      <c r="D345" t="s">
        <v>659</v>
      </c>
      <c r="E345" t="s">
        <v>660</v>
      </c>
      <c r="F345" t="s">
        <v>630</v>
      </c>
      <c r="G345">
        <v>14280</v>
      </c>
      <c r="H345" t="s">
        <v>1234</v>
      </c>
      <c r="I345" t="s">
        <v>1332</v>
      </c>
      <c r="J345">
        <v>4700</v>
      </c>
      <c r="K345" t="s">
        <v>1279</v>
      </c>
      <c r="L345" s="1">
        <v>45</v>
      </c>
      <c r="M345" s="1">
        <f t="shared" si="24"/>
        <v>46</v>
      </c>
      <c r="N345" s="1">
        <v>91</v>
      </c>
    </row>
    <row r="346" spans="1:14" x14ac:dyDescent="0.3">
      <c r="A346" t="s">
        <v>1151</v>
      </c>
      <c r="B346" t="s">
        <v>1151</v>
      </c>
      <c r="C346" t="s">
        <v>661</v>
      </c>
      <c r="D346" t="s">
        <v>661</v>
      </c>
      <c r="E346" t="s">
        <v>662</v>
      </c>
      <c r="F346" t="s">
        <v>630</v>
      </c>
      <c r="G346">
        <v>12600</v>
      </c>
      <c r="H346" t="s">
        <v>1234</v>
      </c>
      <c r="I346" t="s">
        <v>1332</v>
      </c>
      <c r="J346">
        <v>9398</v>
      </c>
      <c r="K346" t="s">
        <v>1279</v>
      </c>
      <c r="L346" s="1">
        <v>45</v>
      </c>
      <c r="M346" s="1">
        <f t="shared" si="24"/>
        <v>21</v>
      </c>
      <c r="N346" s="1">
        <v>66</v>
      </c>
    </row>
    <row r="347" spans="1:14" x14ac:dyDescent="0.3">
      <c r="A347" t="s">
        <v>1152</v>
      </c>
      <c r="B347" t="s">
        <v>1327</v>
      </c>
      <c r="C347" t="s">
        <v>663</v>
      </c>
      <c r="D347" t="s">
        <v>1277</v>
      </c>
      <c r="E347" t="s">
        <v>664</v>
      </c>
      <c r="F347" t="s">
        <v>630</v>
      </c>
      <c r="G347">
        <v>25200</v>
      </c>
      <c r="H347" t="s">
        <v>1234</v>
      </c>
      <c r="I347" t="s">
        <v>1332</v>
      </c>
      <c r="J347">
        <v>6400</v>
      </c>
      <c r="K347" t="s">
        <v>1290</v>
      </c>
      <c r="L347" s="1">
        <v>45</v>
      </c>
      <c r="M347" s="1">
        <f t="shared" si="24"/>
        <v>19</v>
      </c>
      <c r="N347" s="1">
        <v>64</v>
      </c>
    </row>
    <row r="348" spans="1:14" x14ac:dyDescent="0.3">
      <c r="A348" t="s">
        <v>1153</v>
      </c>
      <c r="B348" t="s">
        <v>1153</v>
      </c>
      <c r="C348" t="s">
        <v>665</v>
      </c>
      <c r="D348" t="s">
        <v>665</v>
      </c>
      <c r="E348" t="s">
        <v>666</v>
      </c>
      <c r="F348" t="s">
        <v>630</v>
      </c>
      <c r="G348">
        <v>65000</v>
      </c>
      <c r="H348" t="s">
        <v>1234</v>
      </c>
      <c r="I348" t="s">
        <v>1236</v>
      </c>
      <c r="J348">
        <v>470</v>
      </c>
      <c r="K348" t="s">
        <v>1280</v>
      </c>
      <c r="L348" s="1">
        <v>45</v>
      </c>
      <c r="M348" s="1">
        <f t="shared" si="24"/>
        <v>17</v>
      </c>
      <c r="N348" s="1">
        <v>62</v>
      </c>
    </row>
    <row r="349" spans="1:14" x14ac:dyDescent="0.3">
      <c r="A349" t="s">
        <v>1154</v>
      </c>
      <c r="B349" t="s">
        <v>1154</v>
      </c>
      <c r="C349" t="s">
        <v>667</v>
      </c>
      <c r="D349" t="s">
        <v>667</v>
      </c>
      <c r="E349" t="s">
        <v>668</v>
      </c>
      <c r="F349" t="s">
        <v>630</v>
      </c>
      <c r="G349">
        <v>126000</v>
      </c>
      <c r="H349" t="s">
        <v>1234</v>
      </c>
      <c r="I349" t="s">
        <v>1332</v>
      </c>
      <c r="J349">
        <v>1213</v>
      </c>
      <c r="K349" t="s">
        <v>1281</v>
      </c>
      <c r="L349" s="1">
        <v>45</v>
      </c>
      <c r="M349" s="1">
        <f t="shared" si="24"/>
        <v>63</v>
      </c>
      <c r="N349" s="1">
        <v>108</v>
      </c>
    </row>
    <row r="350" spans="1:14" x14ac:dyDescent="0.3">
      <c r="A350" t="s">
        <v>1155</v>
      </c>
      <c r="B350" t="s">
        <v>1155</v>
      </c>
      <c r="C350" t="s">
        <v>669</v>
      </c>
      <c r="D350" t="s">
        <v>669</v>
      </c>
      <c r="E350" t="s">
        <v>670</v>
      </c>
      <c r="F350" t="s">
        <v>630</v>
      </c>
      <c r="G350">
        <v>300000</v>
      </c>
      <c r="H350" t="s">
        <v>1234</v>
      </c>
      <c r="I350" t="s">
        <v>1332</v>
      </c>
      <c r="J350">
        <v>426</v>
      </c>
      <c r="K350" t="s">
        <v>1280</v>
      </c>
      <c r="L350" s="1">
        <v>45</v>
      </c>
      <c r="M350" s="1">
        <f t="shared" si="24"/>
        <v>34</v>
      </c>
      <c r="N350" s="1">
        <v>79</v>
      </c>
    </row>
    <row r="351" spans="1:14" x14ac:dyDescent="0.3">
      <c r="A351" t="s">
        <v>1156</v>
      </c>
      <c r="B351" t="s">
        <v>1156</v>
      </c>
      <c r="C351" t="s">
        <v>671</v>
      </c>
      <c r="D351" t="s">
        <v>671</v>
      </c>
      <c r="E351" t="s">
        <v>672</v>
      </c>
      <c r="F351" t="s">
        <v>630</v>
      </c>
      <c r="G351">
        <v>88200</v>
      </c>
      <c r="H351" t="s">
        <v>1234</v>
      </c>
      <c r="I351" t="s">
        <v>1332</v>
      </c>
      <c r="J351">
        <v>1056</v>
      </c>
      <c r="K351" t="s">
        <v>1281</v>
      </c>
      <c r="L351" s="1">
        <v>45</v>
      </c>
      <c r="M351" s="1">
        <f t="shared" si="24"/>
        <v>108</v>
      </c>
      <c r="N351" s="1">
        <v>153</v>
      </c>
    </row>
    <row r="352" spans="1:14" x14ac:dyDescent="0.3">
      <c r="A352" t="s">
        <v>1157</v>
      </c>
      <c r="B352" t="s">
        <v>1157</v>
      </c>
      <c r="C352" t="s">
        <v>673</v>
      </c>
      <c r="D352" t="s">
        <v>673</v>
      </c>
      <c r="E352" t="s">
        <v>674</v>
      </c>
      <c r="F352" t="s">
        <v>630</v>
      </c>
      <c r="G352">
        <v>210000</v>
      </c>
      <c r="H352" t="s">
        <v>1234</v>
      </c>
      <c r="I352" t="s">
        <v>1332</v>
      </c>
      <c r="J352">
        <v>1530</v>
      </c>
      <c r="K352" t="s">
        <v>1285</v>
      </c>
      <c r="L352" s="1">
        <v>45</v>
      </c>
      <c r="M352" s="1">
        <f t="shared" si="24"/>
        <v>184</v>
      </c>
      <c r="N352" s="1">
        <v>229</v>
      </c>
    </row>
    <row r="353" spans="1:14" x14ac:dyDescent="0.3">
      <c r="A353" t="s">
        <v>1158</v>
      </c>
      <c r="B353" t="s">
        <v>1158</v>
      </c>
      <c r="C353" t="s">
        <v>675</v>
      </c>
      <c r="D353" t="s">
        <v>675</v>
      </c>
      <c r="E353" t="s">
        <v>676</v>
      </c>
      <c r="F353" t="s">
        <v>630</v>
      </c>
      <c r="G353">
        <v>150000</v>
      </c>
      <c r="H353" t="s">
        <v>1234</v>
      </c>
      <c r="I353" t="s">
        <v>1236</v>
      </c>
      <c r="J353">
        <v>778</v>
      </c>
      <c r="K353" t="s">
        <v>1281</v>
      </c>
      <c r="L353" s="1">
        <v>45</v>
      </c>
      <c r="M353" s="1">
        <f t="shared" si="24"/>
        <v>69</v>
      </c>
      <c r="N353" s="1">
        <v>114</v>
      </c>
    </row>
    <row r="354" spans="1:14" x14ac:dyDescent="0.3">
      <c r="A354" t="s">
        <v>1159</v>
      </c>
      <c r="B354" t="s">
        <v>1159</v>
      </c>
      <c r="C354" t="s">
        <v>677</v>
      </c>
      <c r="D354" t="s">
        <v>677</v>
      </c>
      <c r="E354" t="s">
        <v>678</v>
      </c>
      <c r="F354" t="s">
        <v>630</v>
      </c>
      <c r="G354">
        <v>92500</v>
      </c>
      <c r="H354" t="s">
        <v>1234</v>
      </c>
      <c r="I354" t="s">
        <v>1332</v>
      </c>
      <c r="J354">
        <v>1044</v>
      </c>
      <c r="K354" t="s">
        <v>1280</v>
      </c>
      <c r="L354" s="1">
        <v>45</v>
      </c>
      <c r="M354" s="1">
        <f t="shared" si="24"/>
        <v>81</v>
      </c>
      <c r="N354" s="1">
        <v>126</v>
      </c>
    </row>
    <row r="355" spans="1:14" x14ac:dyDescent="0.3">
      <c r="A355" t="s">
        <v>1160</v>
      </c>
      <c r="B355" t="s">
        <v>1160</v>
      </c>
      <c r="C355" t="s">
        <v>679</v>
      </c>
      <c r="D355" t="s">
        <v>679</v>
      </c>
      <c r="E355" t="s">
        <v>680</v>
      </c>
      <c r="F355" t="s">
        <v>630</v>
      </c>
      <c r="G355">
        <v>120000</v>
      </c>
      <c r="H355" t="s">
        <v>1234</v>
      </c>
      <c r="I355" t="s">
        <v>1332</v>
      </c>
      <c r="J355">
        <v>2317</v>
      </c>
      <c r="K355" t="s">
        <v>1285</v>
      </c>
      <c r="L355" s="1">
        <v>45</v>
      </c>
      <c r="M355" s="1">
        <f t="shared" si="24"/>
        <v>184</v>
      </c>
      <c r="N355" s="1">
        <v>229</v>
      </c>
    </row>
    <row r="356" spans="1:14" x14ac:dyDescent="0.3">
      <c r="A356" t="s">
        <v>1161</v>
      </c>
      <c r="B356" t="s">
        <v>1161</v>
      </c>
      <c r="C356" t="s">
        <v>681</v>
      </c>
      <c r="D356" t="s">
        <v>681</v>
      </c>
      <c r="E356" t="s">
        <v>682</v>
      </c>
      <c r="F356" t="s">
        <v>630</v>
      </c>
      <c r="G356">
        <v>165000</v>
      </c>
      <c r="H356" t="s">
        <v>1234</v>
      </c>
      <c r="I356" t="s">
        <v>1332</v>
      </c>
      <c r="J356">
        <v>4000</v>
      </c>
      <c r="K356" t="s">
        <v>1291</v>
      </c>
      <c r="L356" s="1">
        <v>45</v>
      </c>
      <c r="M356" s="1">
        <f t="shared" si="24"/>
        <v>1064</v>
      </c>
      <c r="N356" s="1">
        <v>1109</v>
      </c>
    </row>
    <row r="357" spans="1:14" x14ac:dyDescent="0.3">
      <c r="A357" t="s">
        <v>1162</v>
      </c>
      <c r="B357" t="s">
        <v>1162</v>
      </c>
      <c r="C357" t="s">
        <v>683</v>
      </c>
      <c r="D357" t="s">
        <v>683</v>
      </c>
      <c r="E357" t="s">
        <v>684</v>
      </c>
      <c r="F357" t="s">
        <v>630</v>
      </c>
      <c r="G357">
        <v>180000</v>
      </c>
      <c r="H357" t="s">
        <v>1234</v>
      </c>
      <c r="I357" t="s">
        <v>1236</v>
      </c>
      <c r="J357">
        <v>1021</v>
      </c>
      <c r="K357" t="s">
        <v>1281</v>
      </c>
      <c r="L357" s="1">
        <v>45</v>
      </c>
      <c r="M357" s="1">
        <f t="shared" si="24"/>
        <v>160</v>
      </c>
      <c r="N357" s="1">
        <v>205</v>
      </c>
    </row>
    <row r="358" spans="1:14" x14ac:dyDescent="0.3">
      <c r="A358" t="s">
        <v>1163</v>
      </c>
      <c r="B358" t="s">
        <v>1163</v>
      </c>
      <c r="C358" t="s">
        <v>685</v>
      </c>
      <c r="D358" t="s">
        <v>685</v>
      </c>
      <c r="E358" t="s">
        <v>686</v>
      </c>
      <c r="F358" t="s">
        <v>630</v>
      </c>
      <c r="G358">
        <v>219000</v>
      </c>
      <c r="H358" t="s">
        <v>1234</v>
      </c>
      <c r="I358" t="s">
        <v>1236</v>
      </c>
      <c r="J358">
        <v>1034</v>
      </c>
      <c r="K358" t="s">
        <v>1281</v>
      </c>
      <c r="L358" s="1">
        <v>45</v>
      </c>
      <c r="M358" s="1">
        <f t="shared" si="24"/>
        <v>116</v>
      </c>
      <c r="N358" s="1">
        <v>161</v>
      </c>
    </row>
    <row r="359" spans="1:14" x14ac:dyDescent="0.3">
      <c r="A359" t="s">
        <v>1164</v>
      </c>
      <c r="B359" t="s">
        <v>1164</v>
      </c>
      <c r="C359" t="s">
        <v>687</v>
      </c>
      <c r="D359" t="s">
        <v>687</v>
      </c>
      <c r="E359" t="s">
        <v>688</v>
      </c>
      <c r="F359" t="s">
        <v>630</v>
      </c>
      <c r="G359">
        <v>88800</v>
      </c>
      <c r="H359" t="s">
        <v>1234</v>
      </c>
      <c r="I359" t="s">
        <v>1236</v>
      </c>
      <c r="J359">
        <v>1286</v>
      </c>
      <c r="K359" t="s">
        <v>1281</v>
      </c>
      <c r="L359" s="1">
        <v>45</v>
      </c>
      <c r="M359" s="1">
        <f t="shared" si="24"/>
        <v>377</v>
      </c>
      <c r="N359" s="1">
        <v>422</v>
      </c>
    </row>
    <row r="360" spans="1:14" x14ac:dyDescent="0.3">
      <c r="A360" t="s">
        <v>1165</v>
      </c>
      <c r="B360" t="s">
        <v>1165</v>
      </c>
      <c r="C360" t="s">
        <v>689</v>
      </c>
      <c r="D360" t="s">
        <v>689</v>
      </c>
      <c r="E360" t="s">
        <v>690</v>
      </c>
      <c r="F360" t="s">
        <v>630</v>
      </c>
      <c r="G360">
        <v>87600</v>
      </c>
      <c r="H360" t="s">
        <v>1234</v>
      </c>
      <c r="I360" t="s">
        <v>1236</v>
      </c>
      <c r="J360">
        <v>2333</v>
      </c>
      <c r="K360" t="s">
        <v>1281</v>
      </c>
      <c r="L360" s="1">
        <v>45</v>
      </c>
      <c r="M360" s="1">
        <f t="shared" si="24"/>
        <v>247</v>
      </c>
      <c r="N360" s="1">
        <v>292</v>
      </c>
    </row>
    <row r="361" spans="1:14" x14ac:dyDescent="0.3">
      <c r="A361" t="s">
        <v>1166</v>
      </c>
      <c r="B361" t="s">
        <v>1166</v>
      </c>
      <c r="C361" t="s">
        <v>691</v>
      </c>
      <c r="D361" t="s">
        <v>691</v>
      </c>
      <c r="E361" t="s">
        <v>692</v>
      </c>
      <c r="F361" t="s">
        <v>630</v>
      </c>
      <c r="G361">
        <v>12600</v>
      </c>
      <c r="H361" t="s">
        <v>1234</v>
      </c>
      <c r="I361" t="s">
        <v>1333</v>
      </c>
      <c r="J361">
        <v>862</v>
      </c>
      <c r="K361" t="s">
        <v>1279</v>
      </c>
      <c r="L361" s="1">
        <v>0</v>
      </c>
      <c r="M361" s="1">
        <v>0</v>
      </c>
      <c r="N361" s="1">
        <v>0</v>
      </c>
    </row>
    <row r="362" spans="1:14" x14ac:dyDescent="0.3">
      <c r="A362" t="s">
        <v>1167</v>
      </c>
      <c r="B362" t="s">
        <v>1167</v>
      </c>
      <c r="C362" t="s">
        <v>693</v>
      </c>
      <c r="D362" t="s">
        <v>693</v>
      </c>
      <c r="E362" t="s">
        <v>694</v>
      </c>
      <c r="F362" t="s">
        <v>630</v>
      </c>
      <c r="G362">
        <v>12600</v>
      </c>
      <c r="H362" t="s">
        <v>1234</v>
      </c>
      <c r="I362" t="s">
        <v>1333</v>
      </c>
      <c r="J362">
        <v>861</v>
      </c>
      <c r="K362" t="s">
        <v>1279</v>
      </c>
      <c r="L362" s="1">
        <v>0</v>
      </c>
      <c r="M362" s="1">
        <v>0</v>
      </c>
      <c r="N362" s="1">
        <v>0</v>
      </c>
    </row>
    <row r="363" spans="1:14" x14ac:dyDescent="0.3">
      <c r="A363" t="s">
        <v>1168</v>
      </c>
      <c r="B363" t="s">
        <v>1168</v>
      </c>
      <c r="C363" t="s">
        <v>695</v>
      </c>
      <c r="D363" t="s">
        <v>695</v>
      </c>
      <c r="E363" t="s">
        <v>696</v>
      </c>
      <c r="F363" t="s">
        <v>630</v>
      </c>
      <c r="G363">
        <v>50400</v>
      </c>
      <c r="H363" t="s">
        <v>1234</v>
      </c>
      <c r="I363" t="s">
        <v>1332</v>
      </c>
      <c r="J363">
        <v>1951</v>
      </c>
      <c r="K363" t="s">
        <v>1281</v>
      </c>
      <c r="L363" s="1">
        <v>45</v>
      </c>
      <c r="M363" s="1">
        <f t="shared" ref="M363:M367" si="25">N363-L363</f>
        <v>225</v>
      </c>
      <c r="N363" s="1">
        <v>270</v>
      </c>
    </row>
    <row r="364" spans="1:14" x14ac:dyDescent="0.3">
      <c r="A364" t="s">
        <v>1169</v>
      </c>
      <c r="B364" t="s">
        <v>1169</v>
      </c>
      <c r="C364" t="s">
        <v>697</v>
      </c>
      <c r="D364" t="s">
        <v>697</v>
      </c>
      <c r="E364" t="s">
        <v>698</v>
      </c>
      <c r="F364" t="s">
        <v>630</v>
      </c>
      <c r="G364">
        <v>146000</v>
      </c>
      <c r="H364" t="s">
        <v>1234</v>
      </c>
      <c r="I364" t="s">
        <v>1236</v>
      </c>
      <c r="J364">
        <v>1228</v>
      </c>
      <c r="K364" t="s">
        <v>1281</v>
      </c>
      <c r="L364" s="1">
        <v>45</v>
      </c>
      <c r="M364" s="1">
        <f t="shared" si="25"/>
        <v>314</v>
      </c>
      <c r="N364" s="1">
        <v>359</v>
      </c>
    </row>
    <row r="365" spans="1:14" x14ac:dyDescent="0.3">
      <c r="A365" t="s">
        <v>1170</v>
      </c>
      <c r="B365" t="s">
        <v>1170</v>
      </c>
      <c r="C365" t="s">
        <v>699</v>
      </c>
      <c r="D365" t="s">
        <v>699</v>
      </c>
      <c r="E365" t="s">
        <v>700</v>
      </c>
      <c r="F365" t="s">
        <v>630</v>
      </c>
      <c r="G365">
        <v>109500</v>
      </c>
      <c r="H365" t="s">
        <v>1234</v>
      </c>
      <c r="I365" t="s">
        <v>1236</v>
      </c>
      <c r="J365">
        <v>833</v>
      </c>
      <c r="K365" t="s">
        <v>1280</v>
      </c>
      <c r="L365" s="1">
        <v>45</v>
      </c>
      <c r="M365" s="1">
        <f t="shared" si="25"/>
        <v>30</v>
      </c>
      <c r="N365" s="1">
        <v>75</v>
      </c>
    </row>
    <row r="366" spans="1:14" x14ac:dyDescent="0.3">
      <c r="A366" t="s">
        <v>1171</v>
      </c>
      <c r="B366" t="s">
        <v>1171</v>
      </c>
      <c r="C366" t="s">
        <v>701</v>
      </c>
      <c r="D366" t="s">
        <v>701</v>
      </c>
      <c r="E366" t="s">
        <v>702</v>
      </c>
      <c r="F366" t="s">
        <v>630</v>
      </c>
      <c r="G366">
        <v>197100</v>
      </c>
      <c r="H366" t="s">
        <v>1234</v>
      </c>
      <c r="I366" t="s">
        <v>1236</v>
      </c>
      <c r="J366">
        <v>667</v>
      </c>
      <c r="K366" t="s">
        <v>1280</v>
      </c>
      <c r="L366" s="1">
        <v>45</v>
      </c>
      <c r="M366" s="1">
        <f t="shared" si="25"/>
        <v>31</v>
      </c>
      <c r="N366" s="1">
        <v>76</v>
      </c>
    </row>
    <row r="367" spans="1:14" x14ac:dyDescent="0.3">
      <c r="A367" t="s">
        <v>1172</v>
      </c>
      <c r="B367" t="s">
        <v>1172</v>
      </c>
      <c r="C367" t="s">
        <v>703</v>
      </c>
      <c r="D367" t="s">
        <v>703</v>
      </c>
      <c r="E367" t="s">
        <v>704</v>
      </c>
      <c r="F367" t="s">
        <v>630</v>
      </c>
      <c r="G367">
        <v>12600</v>
      </c>
      <c r="H367" t="s">
        <v>1234</v>
      </c>
      <c r="I367" t="s">
        <v>1332</v>
      </c>
      <c r="J367">
        <v>4847</v>
      </c>
      <c r="K367" t="s">
        <v>1279</v>
      </c>
      <c r="L367" s="1">
        <v>45</v>
      </c>
      <c r="M367" s="1">
        <f t="shared" si="25"/>
        <v>28</v>
      </c>
      <c r="N367" s="1">
        <v>73</v>
      </c>
    </row>
    <row r="368" spans="1:14" x14ac:dyDescent="0.3">
      <c r="A368" t="s">
        <v>1173</v>
      </c>
      <c r="B368" t="s">
        <v>1173</v>
      </c>
      <c r="C368" t="s">
        <v>705</v>
      </c>
      <c r="D368" t="s">
        <v>705</v>
      </c>
      <c r="E368" t="s">
        <v>706</v>
      </c>
      <c r="F368" t="s">
        <v>630</v>
      </c>
      <c r="G368">
        <v>11700</v>
      </c>
      <c r="H368" t="s">
        <v>1234</v>
      </c>
      <c r="I368" t="s">
        <v>1333</v>
      </c>
      <c r="J368">
        <v>2900</v>
      </c>
      <c r="K368" t="s">
        <v>1280</v>
      </c>
      <c r="L368" s="1">
        <v>0</v>
      </c>
      <c r="M368" s="1">
        <v>0</v>
      </c>
      <c r="N368" s="1">
        <v>0</v>
      </c>
    </row>
    <row r="369" spans="1:14" x14ac:dyDescent="0.3">
      <c r="A369" t="s">
        <v>1174</v>
      </c>
      <c r="B369" t="s">
        <v>1174</v>
      </c>
      <c r="C369" t="s">
        <v>707</v>
      </c>
      <c r="D369" t="s">
        <v>707</v>
      </c>
      <c r="E369" t="s">
        <v>708</v>
      </c>
      <c r="F369" t="s">
        <v>630</v>
      </c>
      <c r="G369">
        <v>222000</v>
      </c>
      <c r="H369" t="s">
        <v>1234</v>
      </c>
      <c r="I369" t="s">
        <v>1332</v>
      </c>
      <c r="J369">
        <v>4167</v>
      </c>
      <c r="K369" t="s">
        <v>1292</v>
      </c>
      <c r="L369" s="1">
        <v>45</v>
      </c>
      <c r="M369" s="1">
        <f t="shared" ref="M369:M388" si="26">N369-L369</f>
        <v>664</v>
      </c>
      <c r="N369" s="1">
        <v>709</v>
      </c>
    </row>
    <row r="370" spans="1:14" x14ac:dyDescent="0.3">
      <c r="A370" t="s">
        <v>1175</v>
      </c>
      <c r="B370" t="s">
        <v>1175</v>
      </c>
      <c r="C370" t="s">
        <v>709</v>
      </c>
      <c r="D370" t="s">
        <v>709</v>
      </c>
      <c r="E370" t="s">
        <v>710</v>
      </c>
      <c r="F370" t="s">
        <v>630</v>
      </c>
      <c r="G370">
        <v>15960</v>
      </c>
      <c r="H370" t="s">
        <v>1234</v>
      </c>
      <c r="I370" t="s">
        <v>1332</v>
      </c>
      <c r="J370">
        <v>18845</v>
      </c>
      <c r="K370" t="s">
        <v>1279</v>
      </c>
      <c r="L370" s="1">
        <v>45</v>
      </c>
      <c r="M370" s="1">
        <f t="shared" si="26"/>
        <v>25</v>
      </c>
      <c r="N370" s="1">
        <v>70</v>
      </c>
    </row>
    <row r="371" spans="1:14" x14ac:dyDescent="0.3">
      <c r="A371" t="s">
        <v>1176</v>
      </c>
      <c r="B371" t="s">
        <v>1176</v>
      </c>
      <c r="C371" t="s">
        <v>711</v>
      </c>
      <c r="D371" t="s">
        <v>711</v>
      </c>
      <c r="E371" t="s">
        <v>712</v>
      </c>
      <c r="F371" t="s">
        <v>630</v>
      </c>
      <c r="G371">
        <v>63000</v>
      </c>
      <c r="H371" t="s">
        <v>1234</v>
      </c>
      <c r="I371" t="s">
        <v>1332</v>
      </c>
      <c r="J371">
        <v>3225</v>
      </c>
      <c r="K371" t="s">
        <v>1280</v>
      </c>
      <c r="L371" s="1">
        <v>45</v>
      </c>
      <c r="M371" s="1">
        <f t="shared" si="26"/>
        <v>70</v>
      </c>
      <c r="N371" s="1">
        <v>115</v>
      </c>
    </row>
    <row r="372" spans="1:14" x14ac:dyDescent="0.3">
      <c r="A372" t="s">
        <v>1177</v>
      </c>
      <c r="B372" t="s">
        <v>1177</v>
      </c>
      <c r="C372" t="s">
        <v>713</v>
      </c>
      <c r="D372" t="s">
        <v>713</v>
      </c>
      <c r="E372" t="s">
        <v>714</v>
      </c>
      <c r="F372" t="s">
        <v>630</v>
      </c>
      <c r="G372">
        <v>193200</v>
      </c>
      <c r="H372" t="s">
        <v>1234</v>
      </c>
      <c r="I372" t="s">
        <v>1332</v>
      </c>
      <c r="J372">
        <v>4181</v>
      </c>
      <c r="K372" t="s">
        <v>1280</v>
      </c>
      <c r="L372" s="1">
        <v>45</v>
      </c>
      <c r="M372" s="1">
        <f t="shared" si="26"/>
        <v>65</v>
      </c>
      <c r="N372" s="1">
        <v>110</v>
      </c>
    </row>
    <row r="373" spans="1:14" x14ac:dyDescent="0.3">
      <c r="A373" t="s">
        <v>1178</v>
      </c>
      <c r="B373" t="s">
        <v>1178</v>
      </c>
      <c r="C373" t="s">
        <v>715</v>
      </c>
      <c r="D373" t="s">
        <v>715</v>
      </c>
      <c r="E373" t="s">
        <v>716</v>
      </c>
      <c r="F373" t="s">
        <v>630</v>
      </c>
      <c r="G373">
        <v>120000</v>
      </c>
      <c r="H373" t="s">
        <v>1234</v>
      </c>
      <c r="I373" t="s">
        <v>1332</v>
      </c>
      <c r="J373">
        <v>647</v>
      </c>
      <c r="K373" t="s">
        <v>1281</v>
      </c>
      <c r="L373" s="1">
        <v>45</v>
      </c>
      <c r="M373" s="1">
        <f t="shared" si="26"/>
        <v>57</v>
      </c>
      <c r="N373" s="1">
        <v>102</v>
      </c>
    </row>
    <row r="374" spans="1:14" x14ac:dyDescent="0.3">
      <c r="A374" t="s">
        <v>1179</v>
      </c>
      <c r="B374" t="s">
        <v>1179</v>
      </c>
      <c r="C374" t="s">
        <v>717</v>
      </c>
      <c r="D374" t="s">
        <v>717</v>
      </c>
      <c r="E374" t="s">
        <v>718</v>
      </c>
      <c r="F374" t="s">
        <v>630</v>
      </c>
      <c r="G374">
        <v>113400</v>
      </c>
      <c r="H374" t="s">
        <v>1234</v>
      </c>
      <c r="I374" t="s">
        <v>1332</v>
      </c>
      <c r="J374">
        <v>5261</v>
      </c>
      <c r="K374" t="s">
        <v>1280</v>
      </c>
      <c r="L374" s="1">
        <v>45</v>
      </c>
      <c r="M374" s="1">
        <f t="shared" si="26"/>
        <v>68</v>
      </c>
      <c r="N374" s="1">
        <v>113</v>
      </c>
    </row>
    <row r="375" spans="1:14" x14ac:dyDescent="0.3">
      <c r="A375" t="s">
        <v>1180</v>
      </c>
      <c r="B375" t="s">
        <v>1180</v>
      </c>
      <c r="C375" t="s">
        <v>719</v>
      </c>
      <c r="D375" t="s">
        <v>719</v>
      </c>
      <c r="E375" t="s">
        <v>720</v>
      </c>
      <c r="F375" t="s">
        <v>630</v>
      </c>
      <c r="G375">
        <v>80000</v>
      </c>
      <c r="H375" t="s">
        <v>1234</v>
      </c>
      <c r="I375" t="s">
        <v>1332</v>
      </c>
      <c r="J375">
        <v>478</v>
      </c>
      <c r="K375" t="s">
        <v>1285</v>
      </c>
      <c r="L375" s="1">
        <v>45</v>
      </c>
      <c r="M375" s="1">
        <f t="shared" si="26"/>
        <v>31</v>
      </c>
      <c r="N375" s="1">
        <v>76</v>
      </c>
    </row>
    <row r="376" spans="1:14" x14ac:dyDescent="0.3">
      <c r="A376" t="s">
        <v>1181</v>
      </c>
      <c r="B376" t="s">
        <v>1181</v>
      </c>
      <c r="C376" t="s">
        <v>721</v>
      </c>
      <c r="D376" t="s">
        <v>721</v>
      </c>
      <c r="E376" t="s">
        <v>722</v>
      </c>
      <c r="F376" t="s">
        <v>630</v>
      </c>
      <c r="G376">
        <v>117600</v>
      </c>
      <c r="H376" t="s">
        <v>1234</v>
      </c>
      <c r="I376" t="s">
        <v>1332</v>
      </c>
      <c r="J376">
        <v>6408</v>
      </c>
      <c r="K376" t="s">
        <v>1280</v>
      </c>
      <c r="L376" s="1">
        <v>45</v>
      </c>
      <c r="M376" s="1">
        <f t="shared" si="26"/>
        <v>22</v>
      </c>
      <c r="N376" s="1">
        <v>67</v>
      </c>
    </row>
    <row r="377" spans="1:14" x14ac:dyDescent="0.3">
      <c r="A377" t="s">
        <v>1182</v>
      </c>
      <c r="B377" t="s">
        <v>1182</v>
      </c>
      <c r="C377" t="s">
        <v>723</v>
      </c>
      <c r="D377" t="s">
        <v>723</v>
      </c>
      <c r="E377" t="s">
        <v>724</v>
      </c>
      <c r="F377" t="s">
        <v>630</v>
      </c>
      <c r="G377">
        <v>63000</v>
      </c>
      <c r="H377" t="s">
        <v>1234</v>
      </c>
      <c r="I377" t="s">
        <v>1332</v>
      </c>
      <c r="J377">
        <v>4120</v>
      </c>
      <c r="K377" t="s">
        <v>1279</v>
      </c>
      <c r="L377" s="1">
        <v>45</v>
      </c>
      <c r="M377" s="1">
        <f t="shared" si="26"/>
        <v>107</v>
      </c>
      <c r="N377" s="1">
        <v>152</v>
      </c>
    </row>
    <row r="378" spans="1:14" x14ac:dyDescent="0.3">
      <c r="A378" t="s">
        <v>1183</v>
      </c>
      <c r="B378" t="s">
        <v>1183</v>
      </c>
      <c r="C378" t="s">
        <v>725</v>
      </c>
      <c r="D378" t="s">
        <v>725</v>
      </c>
      <c r="E378" t="s">
        <v>726</v>
      </c>
      <c r="F378" t="s">
        <v>630</v>
      </c>
      <c r="G378">
        <v>17136</v>
      </c>
      <c r="H378" t="s">
        <v>1234</v>
      </c>
      <c r="I378" t="s">
        <v>1332</v>
      </c>
      <c r="J378">
        <v>3360</v>
      </c>
      <c r="K378" t="s">
        <v>1285</v>
      </c>
      <c r="L378" s="1">
        <v>45</v>
      </c>
      <c r="M378" s="1">
        <f t="shared" si="26"/>
        <v>50</v>
      </c>
      <c r="N378" s="1">
        <v>95</v>
      </c>
    </row>
    <row r="379" spans="1:14" x14ac:dyDescent="0.3">
      <c r="A379" t="s">
        <v>1184</v>
      </c>
      <c r="B379" t="s">
        <v>1184</v>
      </c>
      <c r="C379" t="s">
        <v>727</v>
      </c>
      <c r="D379" t="s">
        <v>727</v>
      </c>
      <c r="E379" t="s">
        <v>728</v>
      </c>
      <c r="F379" t="s">
        <v>630</v>
      </c>
      <c r="G379">
        <v>130000</v>
      </c>
      <c r="H379" t="s">
        <v>1234</v>
      </c>
      <c r="I379" t="s">
        <v>1236</v>
      </c>
      <c r="J379">
        <v>1923</v>
      </c>
      <c r="K379" t="s">
        <v>1285</v>
      </c>
      <c r="L379" s="1">
        <v>45</v>
      </c>
      <c r="M379" s="1">
        <f t="shared" si="26"/>
        <v>3527</v>
      </c>
      <c r="N379" s="1">
        <v>3572</v>
      </c>
    </row>
    <row r="380" spans="1:14" x14ac:dyDescent="0.3">
      <c r="A380" t="s">
        <v>1185</v>
      </c>
      <c r="B380" t="s">
        <v>1185</v>
      </c>
      <c r="C380" t="s">
        <v>729</v>
      </c>
      <c r="D380" t="s">
        <v>729</v>
      </c>
      <c r="E380" t="s">
        <v>730</v>
      </c>
      <c r="F380" t="s">
        <v>630</v>
      </c>
      <c r="G380">
        <v>22680</v>
      </c>
      <c r="H380" t="s">
        <v>1234</v>
      </c>
      <c r="I380" t="s">
        <v>1332</v>
      </c>
      <c r="J380">
        <v>1839</v>
      </c>
      <c r="K380" t="s">
        <v>1279</v>
      </c>
      <c r="L380" s="1">
        <v>45</v>
      </c>
      <c r="M380" s="1">
        <f t="shared" si="26"/>
        <v>282</v>
      </c>
      <c r="N380" s="1">
        <v>327</v>
      </c>
    </row>
    <row r="381" spans="1:14" x14ac:dyDescent="0.3">
      <c r="A381" t="s">
        <v>1186</v>
      </c>
      <c r="B381" t="s">
        <v>1186</v>
      </c>
      <c r="C381" t="s">
        <v>731</v>
      </c>
      <c r="D381" t="s">
        <v>731</v>
      </c>
      <c r="E381" t="s">
        <v>732</v>
      </c>
      <c r="F381" t="s">
        <v>630</v>
      </c>
      <c r="G381">
        <v>20000</v>
      </c>
      <c r="H381" t="s">
        <v>1234</v>
      </c>
      <c r="I381" t="s">
        <v>1332</v>
      </c>
      <c r="J381">
        <v>2484</v>
      </c>
      <c r="K381" t="s">
        <v>1279</v>
      </c>
      <c r="L381" s="1">
        <v>45</v>
      </c>
      <c r="M381" s="1">
        <f t="shared" si="26"/>
        <v>29</v>
      </c>
      <c r="N381" s="1">
        <v>74</v>
      </c>
    </row>
    <row r="382" spans="1:14" x14ac:dyDescent="0.3">
      <c r="A382" t="s">
        <v>1187</v>
      </c>
      <c r="B382" t="s">
        <v>1187</v>
      </c>
      <c r="C382" t="s">
        <v>733</v>
      </c>
      <c r="D382" t="s">
        <v>733</v>
      </c>
      <c r="E382" t="s">
        <v>734</v>
      </c>
      <c r="F382" t="s">
        <v>630</v>
      </c>
      <c r="G382">
        <v>88200</v>
      </c>
      <c r="H382" t="s">
        <v>1234</v>
      </c>
      <c r="I382" t="s">
        <v>1332</v>
      </c>
      <c r="J382">
        <v>3152</v>
      </c>
      <c r="K382" t="s">
        <v>1280</v>
      </c>
      <c r="L382" s="1">
        <v>45</v>
      </c>
      <c r="M382" s="1">
        <f t="shared" si="26"/>
        <v>51</v>
      </c>
      <c r="N382" s="1">
        <v>96</v>
      </c>
    </row>
    <row r="383" spans="1:14" x14ac:dyDescent="0.3">
      <c r="A383" t="s">
        <v>1188</v>
      </c>
      <c r="B383" t="s">
        <v>1188</v>
      </c>
      <c r="C383" t="s">
        <v>735</v>
      </c>
      <c r="D383" t="s">
        <v>735</v>
      </c>
      <c r="E383" t="s">
        <v>736</v>
      </c>
      <c r="F383" t="s">
        <v>630</v>
      </c>
      <c r="G383">
        <v>88200</v>
      </c>
      <c r="H383" t="s">
        <v>1234</v>
      </c>
      <c r="I383" t="s">
        <v>1332</v>
      </c>
      <c r="J383">
        <v>3135</v>
      </c>
      <c r="K383" t="s">
        <v>1280</v>
      </c>
      <c r="L383" s="1">
        <v>45</v>
      </c>
      <c r="M383" s="1">
        <f t="shared" si="26"/>
        <v>65</v>
      </c>
      <c r="N383" s="1">
        <v>110</v>
      </c>
    </row>
    <row r="384" spans="1:14" x14ac:dyDescent="0.3">
      <c r="A384" t="s">
        <v>1189</v>
      </c>
      <c r="B384" t="s">
        <v>1189</v>
      </c>
      <c r="C384" t="s">
        <v>737</v>
      </c>
      <c r="D384" t="s">
        <v>737</v>
      </c>
      <c r="E384" t="s">
        <v>738</v>
      </c>
      <c r="F384" t="s">
        <v>630</v>
      </c>
      <c r="G384">
        <v>40320</v>
      </c>
      <c r="H384" t="s">
        <v>1234</v>
      </c>
      <c r="I384" t="s">
        <v>1332</v>
      </c>
      <c r="J384">
        <v>3653</v>
      </c>
      <c r="K384" t="s">
        <v>1280</v>
      </c>
      <c r="L384" s="1">
        <v>45</v>
      </c>
      <c r="M384" s="1">
        <f t="shared" si="26"/>
        <v>50</v>
      </c>
      <c r="N384" s="1">
        <v>95</v>
      </c>
    </row>
    <row r="385" spans="1:14" x14ac:dyDescent="0.3">
      <c r="A385" t="s">
        <v>1190</v>
      </c>
      <c r="B385" t="s">
        <v>1190</v>
      </c>
      <c r="C385" t="s">
        <v>739</v>
      </c>
      <c r="D385" t="s">
        <v>739</v>
      </c>
      <c r="E385" t="s">
        <v>740</v>
      </c>
      <c r="F385" t="s">
        <v>630</v>
      </c>
      <c r="G385">
        <v>8400</v>
      </c>
      <c r="H385" t="s">
        <v>1234</v>
      </c>
      <c r="I385" t="s">
        <v>1332</v>
      </c>
      <c r="J385">
        <v>4733</v>
      </c>
      <c r="K385" t="s">
        <v>1279</v>
      </c>
      <c r="L385" s="1">
        <v>45</v>
      </c>
      <c r="M385" s="1">
        <f t="shared" si="26"/>
        <v>21</v>
      </c>
      <c r="N385" s="1">
        <v>66</v>
      </c>
    </row>
    <row r="386" spans="1:14" x14ac:dyDescent="0.3">
      <c r="A386" t="s">
        <v>1191</v>
      </c>
      <c r="B386" t="s">
        <v>1191</v>
      </c>
      <c r="C386" t="s">
        <v>741</v>
      </c>
      <c r="D386" t="s">
        <v>741</v>
      </c>
      <c r="E386" t="s">
        <v>742</v>
      </c>
      <c r="F386" t="s">
        <v>630</v>
      </c>
      <c r="G386">
        <v>230000</v>
      </c>
      <c r="H386" t="s">
        <v>1234</v>
      </c>
      <c r="I386" t="s">
        <v>1332</v>
      </c>
      <c r="J386">
        <v>1587</v>
      </c>
      <c r="K386" t="s">
        <v>1285</v>
      </c>
      <c r="L386" s="1">
        <v>45</v>
      </c>
      <c r="M386" s="1">
        <f t="shared" si="26"/>
        <v>82</v>
      </c>
      <c r="N386" s="1">
        <v>127</v>
      </c>
    </row>
    <row r="387" spans="1:14" x14ac:dyDescent="0.3">
      <c r="A387" t="s">
        <v>1192</v>
      </c>
      <c r="B387" t="s">
        <v>1192</v>
      </c>
      <c r="C387" t="s">
        <v>743</v>
      </c>
      <c r="D387" t="s">
        <v>743</v>
      </c>
      <c r="E387" t="s">
        <v>744</v>
      </c>
      <c r="F387" t="s">
        <v>630</v>
      </c>
      <c r="G387">
        <v>10500</v>
      </c>
      <c r="H387" t="s">
        <v>1234</v>
      </c>
      <c r="I387" t="s">
        <v>1332</v>
      </c>
      <c r="J387">
        <v>3285</v>
      </c>
      <c r="K387" t="s">
        <v>1281</v>
      </c>
      <c r="L387" s="1">
        <v>45</v>
      </c>
      <c r="M387" s="1">
        <f t="shared" si="26"/>
        <v>29</v>
      </c>
      <c r="N387" s="1">
        <v>74</v>
      </c>
    </row>
    <row r="388" spans="1:14" x14ac:dyDescent="0.3">
      <c r="A388" t="s">
        <v>1193</v>
      </c>
      <c r="B388" t="s">
        <v>1193</v>
      </c>
      <c r="C388" t="s">
        <v>745</v>
      </c>
      <c r="D388" t="s">
        <v>745</v>
      </c>
      <c r="E388" t="s">
        <v>746</v>
      </c>
      <c r="F388" t="s">
        <v>630</v>
      </c>
      <c r="G388">
        <v>67200</v>
      </c>
      <c r="H388" t="s">
        <v>1234</v>
      </c>
      <c r="I388" t="s">
        <v>1332</v>
      </c>
      <c r="J388">
        <v>3700</v>
      </c>
      <c r="K388" t="s">
        <v>1281</v>
      </c>
      <c r="L388" s="1">
        <v>45</v>
      </c>
      <c r="M388" s="1">
        <f t="shared" si="26"/>
        <v>57</v>
      </c>
      <c r="N388" s="1">
        <v>102</v>
      </c>
    </row>
    <row r="389" spans="1:14" x14ac:dyDescent="0.3">
      <c r="A389" t="s">
        <v>1194</v>
      </c>
      <c r="B389" t="s">
        <v>1194</v>
      </c>
      <c r="C389" t="s">
        <v>747</v>
      </c>
      <c r="D389" t="s">
        <v>747</v>
      </c>
      <c r="E389" t="s">
        <v>748</v>
      </c>
      <c r="F389" t="s">
        <v>630</v>
      </c>
      <c r="G389">
        <v>30000</v>
      </c>
      <c r="H389" t="s">
        <v>1234</v>
      </c>
      <c r="I389" t="s">
        <v>1333</v>
      </c>
      <c r="J389">
        <v>6800</v>
      </c>
      <c r="K389" t="s">
        <v>1290</v>
      </c>
      <c r="L389" s="1">
        <v>0</v>
      </c>
      <c r="M389" s="1">
        <v>0</v>
      </c>
      <c r="N389" s="1">
        <v>0</v>
      </c>
    </row>
    <row r="390" spans="1:14" x14ac:dyDescent="0.3">
      <c r="A390" t="s">
        <v>1195</v>
      </c>
      <c r="B390" t="s">
        <v>1195</v>
      </c>
      <c r="C390" t="s">
        <v>749</v>
      </c>
      <c r="D390" t="s">
        <v>749</v>
      </c>
      <c r="E390" t="s">
        <v>750</v>
      </c>
      <c r="F390" t="s">
        <v>630</v>
      </c>
      <c r="G390">
        <v>60480</v>
      </c>
      <c r="H390" t="s">
        <v>1234</v>
      </c>
      <c r="I390" t="s">
        <v>1333</v>
      </c>
      <c r="J390">
        <v>545</v>
      </c>
      <c r="K390" t="s">
        <v>1280</v>
      </c>
      <c r="L390" s="1">
        <v>0</v>
      </c>
      <c r="M390" s="1">
        <v>0</v>
      </c>
      <c r="N390" s="1">
        <v>0</v>
      </c>
    </row>
    <row r="391" spans="1:14" x14ac:dyDescent="0.3">
      <c r="A391" t="s">
        <v>1196</v>
      </c>
      <c r="B391" t="s">
        <v>1196</v>
      </c>
      <c r="C391" t="s">
        <v>751</v>
      </c>
      <c r="D391" t="s">
        <v>751</v>
      </c>
      <c r="E391" t="s">
        <v>752</v>
      </c>
      <c r="F391" t="s">
        <v>630</v>
      </c>
      <c r="G391">
        <v>12600</v>
      </c>
      <c r="H391" t="s">
        <v>1234</v>
      </c>
      <c r="I391" t="s">
        <v>1332</v>
      </c>
      <c r="J391">
        <v>9571</v>
      </c>
      <c r="K391" t="s">
        <v>1279</v>
      </c>
      <c r="L391" s="1">
        <v>45</v>
      </c>
      <c r="M391" s="1">
        <f t="shared" ref="M391:M392" si="27">N391-L391</f>
        <v>15</v>
      </c>
      <c r="N391" s="1">
        <v>60</v>
      </c>
    </row>
    <row r="392" spans="1:14" x14ac:dyDescent="0.3">
      <c r="A392" t="s">
        <v>1197</v>
      </c>
      <c r="B392" t="s">
        <v>1197</v>
      </c>
      <c r="C392" t="s">
        <v>753</v>
      </c>
      <c r="D392" t="s">
        <v>753</v>
      </c>
      <c r="E392" t="s">
        <v>754</v>
      </c>
      <c r="F392" t="s">
        <v>630</v>
      </c>
      <c r="G392">
        <v>168000</v>
      </c>
      <c r="H392" t="s">
        <v>1234</v>
      </c>
      <c r="I392" t="s">
        <v>1332</v>
      </c>
      <c r="J392">
        <v>676</v>
      </c>
      <c r="K392" t="s">
        <v>1280</v>
      </c>
      <c r="L392" s="1">
        <v>45</v>
      </c>
      <c r="M392" s="1">
        <f t="shared" si="27"/>
        <v>87</v>
      </c>
      <c r="N392" s="1">
        <v>132</v>
      </c>
    </row>
    <row r="393" spans="1:14" x14ac:dyDescent="0.3">
      <c r="A393" t="s">
        <v>1198</v>
      </c>
      <c r="B393" t="s">
        <v>1198</v>
      </c>
      <c r="C393" t="s">
        <v>755</v>
      </c>
      <c r="D393" t="s">
        <v>755</v>
      </c>
      <c r="E393" t="s">
        <v>756</v>
      </c>
      <c r="F393" t="s">
        <v>630</v>
      </c>
      <c r="G393">
        <v>126000</v>
      </c>
      <c r="H393" t="s">
        <v>1234</v>
      </c>
      <c r="I393" t="s">
        <v>1333</v>
      </c>
      <c r="J393">
        <v>1600</v>
      </c>
      <c r="K393" t="s">
        <v>1281</v>
      </c>
      <c r="L393" s="1">
        <v>0</v>
      </c>
      <c r="M393" s="1">
        <v>0</v>
      </c>
      <c r="N393" s="1">
        <v>0</v>
      </c>
    </row>
    <row r="394" spans="1:14" x14ac:dyDescent="0.3">
      <c r="A394" t="s">
        <v>1199</v>
      </c>
      <c r="B394" t="s">
        <v>1199</v>
      </c>
      <c r="C394" t="s">
        <v>757</v>
      </c>
      <c r="D394" t="s">
        <v>757</v>
      </c>
      <c r="E394" t="s">
        <v>758</v>
      </c>
      <c r="F394" t="s">
        <v>630</v>
      </c>
      <c r="G394">
        <v>32760</v>
      </c>
      <c r="H394" t="s">
        <v>1234</v>
      </c>
      <c r="I394" t="s">
        <v>1332</v>
      </c>
      <c r="J394">
        <v>4607</v>
      </c>
      <c r="K394" t="s">
        <v>1279</v>
      </c>
      <c r="L394" s="1">
        <v>45</v>
      </c>
      <c r="M394" s="1">
        <f t="shared" ref="M394:M401" si="28">N394-L394</f>
        <v>87</v>
      </c>
      <c r="N394" s="1">
        <v>132</v>
      </c>
    </row>
    <row r="395" spans="1:14" x14ac:dyDescent="0.3">
      <c r="A395" t="s">
        <v>1200</v>
      </c>
      <c r="B395" t="s">
        <v>1200</v>
      </c>
      <c r="C395" t="s">
        <v>759</v>
      </c>
      <c r="D395" t="s">
        <v>759</v>
      </c>
      <c r="E395" t="s">
        <v>760</v>
      </c>
      <c r="F395" t="s">
        <v>630</v>
      </c>
      <c r="G395">
        <v>67200</v>
      </c>
      <c r="H395" t="s">
        <v>1234</v>
      </c>
      <c r="I395" t="s">
        <v>1332</v>
      </c>
      <c r="J395">
        <v>3942</v>
      </c>
      <c r="K395" t="s">
        <v>1280</v>
      </c>
      <c r="L395" s="1">
        <v>45</v>
      </c>
      <c r="M395" s="1">
        <f t="shared" si="28"/>
        <v>134</v>
      </c>
      <c r="N395" s="1">
        <v>179</v>
      </c>
    </row>
    <row r="396" spans="1:14" x14ac:dyDescent="0.3">
      <c r="A396" t="s">
        <v>1201</v>
      </c>
      <c r="B396" t="s">
        <v>1201</v>
      </c>
      <c r="C396" t="s">
        <v>761</v>
      </c>
      <c r="D396" t="s">
        <v>761</v>
      </c>
      <c r="E396" t="s">
        <v>762</v>
      </c>
      <c r="F396" t="s">
        <v>630</v>
      </c>
      <c r="G396">
        <v>120960</v>
      </c>
      <c r="H396" t="s">
        <v>1234</v>
      </c>
      <c r="I396" t="s">
        <v>1332</v>
      </c>
      <c r="J396">
        <v>6750</v>
      </c>
      <c r="K396" t="s">
        <v>1280</v>
      </c>
      <c r="L396" s="1">
        <v>45</v>
      </c>
      <c r="M396" s="1">
        <f t="shared" si="28"/>
        <v>862</v>
      </c>
      <c r="N396" s="1">
        <v>907</v>
      </c>
    </row>
    <row r="397" spans="1:14" x14ac:dyDescent="0.3">
      <c r="A397" t="s">
        <v>1202</v>
      </c>
      <c r="B397" t="s">
        <v>1202</v>
      </c>
      <c r="C397" t="s">
        <v>763</v>
      </c>
      <c r="D397" t="s">
        <v>763</v>
      </c>
      <c r="E397" t="s">
        <v>764</v>
      </c>
      <c r="F397" t="s">
        <v>630</v>
      </c>
      <c r="G397">
        <v>84000</v>
      </c>
      <c r="H397" t="s">
        <v>1234</v>
      </c>
      <c r="I397" t="s">
        <v>1332</v>
      </c>
      <c r="J397">
        <v>6400</v>
      </c>
      <c r="K397" t="s">
        <v>1290</v>
      </c>
      <c r="L397" s="1">
        <v>45</v>
      </c>
      <c r="M397" s="1">
        <f t="shared" si="28"/>
        <v>455</v>
      </c>
      <c r="N397" s="1">
        <v>500</v>
      </c>
    </row>
    <row r="398" spans="1:14" x14ac:dyDescent="0.3">
      <c r="A398" t="s">
        <v>1203</v>
      </c>
      <c r="B398" t="s">
        <v>1203</v>
      </c>
      <c r="C398" t="s">
        <v>765</v>
      </c>
      <c r="D398" t="s">
        <v>765</v>
      </c>
      <c r="E398" t="s">
        <v>766</v>
      </c>
      <c r="F398" t="s">
        <v>630</v>
      </c>
      <c r="G398">
        <v>15405</v>
      </c>
      <c r="H398" t="s">
        <v>1234</v>
      </c>
      <c r="I398" t="s">
        <v>1332</v>
      </c>
      <c r="J398">
        <v>1692</v>
      </c>
      <c r="K398" t="s">
        <v>1281</v>
      </c>
      <c r="L398" s="1">
        <v>45</v>
      </c>
      <c r="M398" s="1">
        <f t="shared" si="28"/>
        <v>39</v>
      </c>
      <c r="N398" s="1">
        <v>84</v>
      </c>
    </row>
    <row r="399" spans="1:14" x14ac:dyDescent="0.3">
      <c r="A399" t="s">
        <v>1204</v>
      </c>
      <c r="B399" t="s">
        <v>1204</v>
      </c>
      <c r="C399" t="s">
        <v>767</v>
      </c>
      <c r="D399" t="s">
        <v>767</v>
      </c>
      <c r="E399" t="s">
        <v>768</v>
      </c>
      <c r="F399" t="s">
        <v>630</v>
      </c>
      <c r="G399">
        <v>153300</v>
      </c>
      <c r="H399" t="s">
        <v>1234</v>
      </c>
      <c r="I399" t="s">
        <v>1236</v>
      </c>
      <c r="J399">
        <v>1777</v>
      </c>
      <c r="K399" t="s">
        <v>1280</v>
      </c>
      <c r="L399" s="1">
        <v>45</v>
      </c>
      <c r="M399" s="1">
        <f t="shared" si="28"/>
        <v>593</v>
      </c>
      <c r="N399" s="1">
        <v>638</v>
      </c>
    </row>
    <row r="400" spans="1:14" x14ac:dyDescent="0.3">
      <c r="A400" t="s">
        <v>1205</v>
      </c>
      <c r="B400" t="s">
        <v>1205</v>
      </c>
      <c r="C400" t="s">
        <v>769</v>
      </c>
      <c r="D400" t="s">
        <v>769</v>
      </c>
      <c r="E400" t="s">
        <v>770</v>
      </c>
      <c r="F400" t="s">
        <v>630</v>
      </c>
      <c r="G400">
        <v>18060</v>
      </c>
      <c r="H400" t="s">
        <v>1234</v>
      </c>
      <c r="I400" t="s">
        <v>1332</v>
      </c>
      <c r="J400">
        <v>5133</v>
      </c>
      <c r="K400" t="s">
        <v>1285</v>
      </c>
      <c r="L400" s="1">
        <v>45</v>
      </c>
      <c r="M400" s="1">
        <f t="shared" si="28"/>
        <v>20</v>
      </c>
      <c r="N400" s="1">
        <v>65</v>
      </c>
    </row>
    <row r="401" spans="1:14" x14ac:dyDescent="0.3">
      <c r="A401" t="s">
        <v>1206</v>
      </c>
      <c r="B401" t="s">
        <v>1206</v>
      </c>
      <c r="C401" t="s">
        <v>771</v>
      </c>
      <c r="D401" t="s">
        <v>771</v>
      </c>
      <c r="E401" t="s">
        <v>772</v>
      </c>
      <c r="F401" t="s">
        <v>630</v>
      </c>
      <c r="G401">
        <v>66600</v>
      </c>
      <c r="H401" t="s">
        <v>1234</v>
      </c>
      <c r="I401" t="s">
        <v>1332</v>
      </c>
      <c r="J401">
        <v>1603</v>
      </c>
      <c r="K401" t="s">
        <v>1281</v>
      </c>
      <c r="L401" s="1">
        <v>45</v>
      </c>
      <c r="M401" s="1">
        <f t="shared" si="28"/>
        <v>128</v>
      </c>
      <c r="N401" s="1">
        <v>173</v>
      </c>
    </row>
    <row r="402" spans="1:14" x14ac:dyDescent="0.3">
      <c r="A402" t="s">
        <v>1207</v>
      </c>
      <c r="B402" t="s">
        <v>1207</v>
      </c>
      <c r="C402" t="s">
        <v>773</v>
      </c>
      <c r="D402" t="s">
        <v>773</v>
      </c>
      <c r="E402" t="s">
        <v>774</v>
      </c>
      <c r="F402" t="s">
        <v>630</v>
      </c>
      <c r="G402">
        <v>201600</v>
      </c>
      <c r="H402" t="s">
        <v>1234</v>
      </c>
      <c r="I402" t="s">
        <v>1333</v>
      </c>
      <c r="J402">
        <v>1</v>
      </c>
      <c r="K402" t="s">
        <v>1291</v>
      </c>
      <c r="L402" s="1">
        <v>0</v>
      </c>
      <c r="M402" s="1">
        <v>0</v>
      </c>
      <c r="N402" s="1">
        <v>0</v>
      </c>
    </row>
    <row r="403" spans="1:14" x14ac:dyDescent="0.3">
      <c r="A403" t="s">
        <v>1208</v>
      </c>
      <c r="B403" t="s">
        <v>1208</v>
      </c>
      <c r="C403" t="s">
        <v>775</v>
      </c>
      <c r="D403" t="s">
        <v>775</v>
      </c>
      <c r="E403" t="s">
        <v>776</v>
      </c>
      <c r="F403" t="s">
        <v>630</v>
      </c>
      <c r="G403">
        <v>54750</v>
      </c>
      <c r="H403" t="s">
        <v>1234</v>
      </c>
      <c r="I403" t="s">
        <v>1236</v>
      </c>
      <c r="J403">
        <v>1000</v>
      </c>
      <c r="K403" t="s">
        <v>1280</v>
      </c>
      <c r="L403" s="1">
        <v>45</v>
      </c>
      <c r="M403" s="1">
        <f t="shared" ref="M403:M420" si="29">N403-L403</f>
        <v>110</v>
      </c>
      <c r="N403" s="1">
        <v>155</v>
      </c>
    </row>
    <row r="404" spans="1:14" x14ac:dyDescent="0.3">
      <c r="A404" t="s">
        <v>1209</v>
      </c>
      <c r="B404" t="s">
        <v>1209</v>
      </c>
      <c r="C404" t="s">
        <v>777</v>
      </c>
      <c r="D404" t="s">
        <v>777</v>
      </c>
      <c r="E404" t="s">
        <v>778</v>
      </c>
      <c r="F404" t="s">
        <v>630</v>
      </c>
      <c r="G404">
        <v>87600</v>
      </c>
      <c r="H404" t="s">
        <v>1234</v>
      </c>
      <c r="I404" t="s">
        <v>1236</v>
      </c>
      <c r="J404">
        <v>1416</v>
      </c>
      <c r="K404" t="s">
        <v>1280</v>
      </c>
      <c r="L404" s="1">
        <v>45</v>
      </c>
      <c r="M404" s="1">
        <f t="shared" si="29"/>
        <v>329</v>
      </c>
      <c r="N404" s="1">
        <v>374</v>
      </c>
    </row>
    <row r="405" spans="1:14" x14ac:dyDescent="0.3">
      <c r="A405" t="s">
        <v>1210</v>
      </c>
      <c r="B405" t="s">
        <v>1210</v>
      </c>
      <c r="C405" t="s">
        <v>779</v>
      </c>
      <c r="D405" t="s">
        <v>779</v>
      </c>
      <c r="E405" t="s">
        <v>780</v>
      </c>
      <c r="F405" t="s">
        <v>630</v>
      </c>
      <c r="G405">
        <v>66600</v>
      </c>
      <c r="H405" t="s">
        <v>1234</v>
      </c>
      <c r="I405" t="s">
        <v>1332</v>
      </c>
      <c r="J405">
        <v>213</v>
      </c>
      <c r="K405" t="s">
        <v>1280</v>
      </c>
      <c r="L405" s="1">
        <v>45</v>
      </c>
      <c r="M405" s="1">
        <f t="shared" si="29"/>
        <v>41</v>
      </c>
      <c r="N405" s="1">
        <v>86</v>
      </c>
    </row>
    <row r="406" spans="1:14" x14ac:dyDescent="0.3">
      <c r="A406" t="s">
        <v>1211</v>
      </c>
      <c r="B406" t="s">
        <v>1211</v>
      </c>
      <c r="C406" t="s">
        <v>781</v>
      </c>
      <c r="D406" t="s">
        <v>781</v>
      </c>
      <c r="E406" t="s">
        <v>782</v>
      </c>
      <c r="F406" t="s">
        <v>630</v>
      </c>
      <c r="G406">
        <v>51100</v>
      </c>
      <c r="H406" t="s">
        <v>1234</v>
      </c>
      <c r="I406" t="s">
        <v>1236</v>
      </c>
      <c r="J406">
        <v>1102</v>
      </c>
      <c r="K406" t="s">
        <v>1280</v>
      </c>
      <c r="L406" s="1">
        <v>45</v>
      </c>
      <c r="M406" s="1">
        <f t="shared" si="29"/>
        <v>40</v>
      </c>
      <c r="N406" s="1">
        <v>85</v>
      </c>
    </row>
    <row r="407" spans="1:14" x14ac:dyDescent="0.3">
      <c r="A407" t="s">
        <v>1212</v>
      </c>
      <c r="B407" t="s">
        <v>1212</v>
      </c>
      <c r="C407" t="s">
        <v>783</v>
      </c>
      <c r="D407" t="s">
        <v>783</v>
      </c>
      <c r="E407" t="s">
        <v>784</v>
      </c>
      <c r="F407" t="s">
        <v>630</v>
      </c>
      <c r="G407">
        <v>40700</v>
      </c>
      <c r="H407" t="s">
        <v>1234</v>
      </c>
      <c r="I407" t="s">
        <v>1236</v>
      </c>
      <c r="J407">
        <v>581</v>
      </c>
      <c r="K407" t="s">
        <v>1280</v>
      </c>
      <c r="L407" s="1">
        <v>45</v>
      </c>
      <c r="M407" s="1">
        <f t="shared" si="29"/>
        <v>44</v>
      </c>
      <c r="N407" s="1">
        <v>89</v>
      </c>
    </row>
    <row r="408" spans="1:14" x14ac:dyDescent="0.3">
      <c r="A408" t="s">
        <v>1213</v>
      </c>
      <c r="B408" t="s">
        <v>1213</v>
      </c>
      <c r="C408" t="s">
        <v>785</v>
      </c>
      <c r="D408" t="s">
        <v>785</v>
      </c>
      <c r="E408" t="s">
        <v>786</v>
      </c>
      <c r="F408" t="s">
        <v>630</v>
      </c>
      <c r="G408">
        <v>125800</v>
      </c>
      <c r="H408" t="s">
        <v>1234</v>
      </c>
      <c r="I408" t="s">
        <v>1236</v>
      </c>
      <c r="J408">
        <v>544</v>
      </c>
      <c r="K408" t="s">
        <v>1280</v>
      </c>
      <c r="L408" s="1">
        <v>45</v>
      </c>
      <c r="M408" s="1">
        <f t="shared" si="29"/>
        <v>38</v>
      </c>
      <c r="N408" s="1">
        <v>83</v>
      </c>
    </row>
    <row r="409" spans="1:14" x14ac:dyDescent="0.3">
      <c r="A409" t="s">
        <v>1214</v>
      </c>
      <c r="B409" t="s">
        <v>1214</v>
      </c>
      <c r="C409" t="s">
        <v>787</v>
      </c>
      <c r="D409" t="s">
        <v>787</v>
      </c>
      <c r="E409" t="s">
        <v>788</v>
      </c>
      <c r="F409" t="s">
        <v>630</v>
      </c>
      <c r="G409">
        <v>170200</v>
      </c>
      <c r="H409" t="s">
        <v>1234</v>
      </c>
      <c r="I409" t="s">
        <v>1236</v>
      </c>
      <c r="J409">
        <v>720</v>
      </c>
      <c r="K409" t="s">
        <v>1280</v>
      </c>
      <c r="L409" s="1">
        <v>45</v>
      </c>
      <c r="M409" s="1">
        <f t="shared" si="29"/>
        <v>41</v>
      </c>
      <c r="N409" s="1">
        <v>86</v>
      </c>
    </row>
    <row r="410" spans="1:14" x14ac:dyDescent="0.3">
      <c r="A410" t="s">
        <v>1215</v>
      </c>
      <c r="B410" t="s">
        <v>1215</v>
      </c>
      <c r="C410" t="s">
        <v>789</v>
      </c>
      <c r="D410" t="s">
        <v>789</v>
      </c>
      <c r="E410" t="s">
        <v>790</v>
      </c>
      <c r="F410" t="s">
        <v>630</v>
      </c>
      <c r="G410">
        <v>37000</v>
      </c>
      <c r="H410" t="s">
        <v>1234</v>
      </c>
      <c r="I410" t="s">
        <v>1236</v>
      </c>
      <c r="J410">
        <v>943</v>
      </c>
      <c r="K410" t="s">
        <v>1280</v>
      </c>
      <c r="L410" s="1">
        <v>45</v>
      </c>
      <c r="M410" s="1">
        <f t="shared" si="29"/>
        <v>99</v>
      </c>
      <c r="N410" s="1">
        <v>144</v>
      </c>
    </row>
    <row r="411" spans="1:14" x14ac:dyDescent="0.3">
      <c r="A411" t="s">
        <v>1216</v>
      </c>
      <c r="B411" t="s">
        <v>1216</v>
      </c>
      <c r="C411" t="s">
        <v>791</v>
      </c>
      <c r="D411" t="s">
        <v>791</v>
      </c>
      <c r="E411" t="s">
        <v>792</v>
      </c>
      <c r="F411" t="s">
        <v>630</v>
      </c>
      <c r="G411">
        <v>46620</v>
      </c>
      <c r="H411" t="s">
        <v>1234</v>
      </c>
      <c r="I411" t="s">
        <v>1332</v>
      </c>
      <c r="J411">
        <v>1520</v>
      </c>
      <c r="K411" t="s">
        <v>1279</v>
      </c>
      <c r="L411" s="1">
        <v>45</v>
      </c>
      <c r="M411" s="1">
        <f t="shared" si="29"/>
        <v>20</v>
      </c>
      <c r="N411" s="1">
        <v>65</v>
      </c>
    </row>
    <row r="412" spans="1:14" x14ac:dyDescent="0.3">
      <c r="A412" t="s">
        <v>1217</v>
      </c>
      <c r="B412" t="s">
        <v>1217</v>
      </c>
      <c r="C412" t="s">
        <v>793</v>
      </c>
      <c r="D412" t="s">
        <v>793</v>
      </c>
      <c r="E412" t="s">
        <v>794</v>
      </c>
      <c r="F412" t="s">
        <v>630</v>
      </c>
      <c r="G412">
        <v>149850</v>
      </c>
      <c r="H412" t="s">
        <v>1234</v>
      </c>
      <c r="I412" t="s">
        <v>1332</v>
      </c>
      <c r="J412">
        <v>2866</v>
      </c>
      <c r="K412" t="s">
        <v>1280</v>
      </c>
      <c r="L412" s="1">
        <v>45</v>
      </c>
      <c r="M412" s="1">
        <f t="shared" si="29"/>
        <v>287</v>
      </c>
      <c r="N412" s="1">
        <v>332</v>
      </c>
    </row>
    <row r="413" spans="1:14" x14ac:dyDescent="0.3">
      <c r="A413" t="s">
        <v>1218</v>
      </c>
      <c r="B413" t="s">
        <v>1218</v>
      </c>
      <c r="C413" t="s">
        <v>795</v>
      </c>
      <c r="D413" t="s">
        <v>795</v>
      </c>
      <c r="E413" t="s">
        <v>796</v>
      </c>
      <c r="F413" t="s">
        <v>630</v>
      </c>
      <c r="G413">
        <v>60000</v>
      </c>
      <c r="H413" t="s">
        <v>1234</v>
      </c>
      <c r="I413" t="s">
        <v>1236</v>
      </c>
      <c r="J413">
        <v>1909</v>
      </c>
      <c r="K413" t="s">
        <v>1285</v>
      </c>
      <c r="L413" s="1">
        <v>45</v>
      </c>
      <c r="M413" s="1">
        <f t="shared" si="29"/>
        <v>8171</v>
      </c>
      <c r="N413" s="1">
        <v>8216</v>
      </c>
    </row>
    <row r="414" spans="1:14" x14ac:dyDescent="0.3">
      <c r="A414" t="s">
        <v>1219</v>
      </c>
      <c r="B414" t="s">
        <v>1219</v>
      </c>
      <c r="C414" t="s">
        <v>797</v>
      </c>
      <c r="D414" t="s">
        <v>797</v>
      </c>
      <c r="E414" t="s">
        <v>798</v>
      </c>
      <c r="F414" t="s">
        <v>504</v>
      </c>
      <c r="G414">
        <v>1415.21</v>
      </c>
      <c r="H414" t="s">
        <v>1232</v>
      </c>
      <c r="I414" t="s">
        <v>1236</v>
      </c>
      <c r="J414">
        <v>600000</v>
      </c>
      <c r="K414" t="s">
        <v>1289</v>
      </c>
      <c r="L414" s="1">
        <v>45</v>
      </c>
      <c r="M414" s="1">
        <f t="shared" si="29"/>
        <v>80</v>
      </c>
      <c r="N414" s="1">
        <v>125</v>
      </c>
    </row>
    <row r="415" spans="1:14" x14ac:dyDescent="0.3">
      <c r="A415" t="s">
        <v>1220</v>
      </c>
      <c r="B415" t="s">
        <v>1220</v>
      </c>
      <c r="C415" t="s">
        <v>799</v>
      </c>
      <c r="D415" t="s">
        <v>799</v>
      </c>
      <c r="E415" t="s">
        <v>800</v>
      </c>
      <c r="F415" t="s">
        <v>504</v>
      </c>
      <c r="G415">
        <v>1415.21</v>
      </c>
      <c r="H415" t="s">
        <v>1232</v>
      </c>
      <c r="I415" t="s">
        <v>1236</v>
      </c>
      <c r="J415">
        <v>600000</v>
      </c>
      <c r="K415" t="s">
        <v>1289</v>
      </c>
      <c r="L415" s="1">
        <v>45</v>
      </c>
      <c r="M415" s="1">
        <f t="shared" si="29"/>
        <v>119</v>
      </c>
      <c r="N415" s="1">
        <v>164</v>
      </c>
    </row>
    <row r="416" spans="1:14" x14ac:dyDescent="0.3">
      <c r="A416" t="s">
        <v>1221</v>
      </c>
      <c r="B416" t="s">
        <v>1221</v>
      </c>
      <c r="C416" t="s">
        <v>801</v>
      </c>
      <c r="D416" t="s">
        <v>801</v>
      </c>
      <c r="E416" t="s">
        <v>802</v>
      </c>
      <c r="F416" t="s">
        <v>630</v>
      </c>
      <c r="G416">
        <v>219000</v>
      </c>
      <c r="H416" t="s">
        <v>1234</v>
      </c>
      <c r="I416" t="s">
        <v>1332</v>
      </c>
      <c r="J416">
        <v>1500</v>
      </c>
      <c r="K416" t="s">
        <v>1281</v>
      </c>
      <c r="L416" s="1">
        <v>45</v>
      </c>
      <c r="M416" s="1">
        <f t="shared" si="29"/>
        <v>1262</v>
      </c>
      <c r="N416" s="1">
        <v>1307</v>
      </c>
    </row>
    <row r="417" spans="1:14" x14ac:dyDescent="0.3">
      <c r="A417" t="s">
        <v>1222</v>
      </c>
      <c r="B417" t="s">
        <v>1222</v>
      </c>
      <c r="C417" t="s">
        <v>803</v>
      </c>
      <c r="D417" t="s">
        <v>803</v>
      </c>
      <c r="E417" t="s">
        <v>804</v>
      </c>
      <c r="F417" t="s">
        <v>630</v>
      </c>
      <c r="G417">
        <v>80300</v>
      </c>
      <c r="H417" t="s">
        <v>1234</v>
      </c>
      <c r="I417" t="s">
        <v>1332</v>
      </c>
      <c r="J417">
        <v>2667</v>
      </c>
      <c r="K417" t="s">
        <v>1280</v>
      </c>
      <c r="L417" s="1">
        <v>45</v>
      </c>
      <c r="M417" s="1">
        <f t="shared" si="29"/>
        <v>236</v>
      </c>
      <c r="N417" s="1">
        <v>281</v>
      </c>
    </row>
    <row r="418" spans="1:14" x14ac:dyDescent="0.3">
      <c r="A418" t="s">
        <v>1341</v>
      </c>
      <c r="B418" t="s">
        <v>1223</v>
      </c>
      <c r="C418" t="s">
        <v>1338</v>
      </c>
      <c r="D418" t="s">
        <v>805</v>
      </c>
      <c r="E418" t="s">
        <v>1393</v>
      </c>
      <c r="F418" t="s">
        <v>504</v>
      </c>
      <c r="G418">
        <v>1203.4100000000001</v>
      </c>
      <c r="H418" t="s">
        <v>1232</v>
      </c>
      <c r="I418" t="s">
        <v>1236</v>
      </c>
      <c r="J418">
        <v>600000</v>
      </c>
      <c r="K418" t="s">
        <v>1289</v>
      </c>
      <c r="L418" s="1">
        <v>45</v>
      </c>
      <c r="M418" s="1">
        <f t="shared" si="29"/>
        <v>86</v>
      </c>
      <c r="N418" s="1">
        <v>131</v>
      </c>
    </row>
    <row r="419" spans="1:14" x14ac:dyDescent="0.3">
      <c r="A419" t="s">
        <v>1224</v>
      </c>
      <c r="B419" t="s">
        <v>1224</v>
      </c>
      <c r="C419" t="s">
        <v>806</v>
      </c>
      <c r="D419" t="s">
        <v>806</v>
      </c>
      <c r="E419" t="s">
        <v>807</v>
      </c>
      <c r="F419" t="s">
        <v>183</v>
      </c>
      <c r="G419">
        <v>30751.38</v>
      </c>
      <c r="H419" t="s">
        <v>1232</v>
      </c>
      <c r="I419" t="s">
        <v>1236</v>
      </c>
      <c r="J419">
        <v>5000</v>
      </c>
      <c r="K419" t="s">
        <v>1285</v>
      </c>
      <c r="L419" s="1">
        <v>45</v>
      </c>
      <c r="M419" s="1">
        <f t="shared" si="29"/>
        <v>15</v>
      </c>
      <c r="N419" s="1">
        <v>60</v>
      </c>
    </row>
    <row r="420" spans="1:14" x14ac:dyDescent="0.3">
      <c r="A420" t="s">
        <v>1225</v>
      </c>
      <c r="B420" t="s">
        <v>1225</v>
      </c>
      <c r="C420" t="s">
        <v>808</v>
      </c>
      <c r="D420" t="s">
        <v>808</v>
      </c>
      <c r="E420" t="s">
        <v>809</v>
      </c>
      <c r="F420" t="s">
        <v>183</v>
      </c>
      <c r="G420">
        <v>11048.4</v>
      </c>
      <c r="H420" t="s">
        <v>1232</v>
      </c>
      <c r="I420" t="s">
        <v>1236</v>
      </c>
      <c r="J420">
        <v>6333</v>
      </c>
      <c r="K420" t="s">
        <v>1281</v>
      </c>
      <c r="L420" s="1">
        <v>45</v>
      </c>
      <c r="M420" s="1">
        <f t="shared" si="29"/>
        <v>15</v>
      </c>
      <c r="N420" s="1">
        <v>60</v>
      </c>
    </row>
  </sheetData>
  <autoFilter ref="A1:N420" xr:uid="{88BBED65-C79C-467A-AFD9-79C337433C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2026-08-20T07:02:56Z</dcterms:created>
  <dcterms:modified xsi:type="dcterms:W3CDTF">2026-10-20T02:53:32Z</dcterms:modified>
</cp:coreProperties>
</file>